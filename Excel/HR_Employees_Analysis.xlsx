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8.xml" ContentType="application/vnd.openxmlformats-officedocument.spreadsheetml.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jasi\Desktop\data analyst porfolio\excel project\"/>
    </mc:Choice>
  </mc:AlternateContent>
  <xr:revisionPtr revIDLastSave="0" documentId="13_ncr:1_{37F7A1AE-FA9D-4910-8F18-1DBC1F87778B}" xr6:coauthVersionLast="47" xr6:coauthVersionMax="47" xr10:uidLastSave="{00000000-0000-0000-0000-000000000000}"/>
  <bookViews>
    <workbookView xWindow="-108" yWindow="-108" windowWidth="23256" windowHeight="12456" firstSheet="9" activeTab="10" xr2:uid="{02CC5A82-C52C-485D-B177-1F21F288ABEE}"/>
  </bookViews>
  <sheets>
    <sheet name="Attrition_by_EmployeeNumber" sheetId="5" r:id="rId1"/>
    <sheet name="Attrition_by_Department" sheetId="6" r:id="rId2"/>
    <sheet name="Attrition_by_JobRole" sheetId="7" r:id="rId3"/>
    <sheet name="Calculations" sheetId="10" r:id="rId4"/>
    <sheet name="Attrition_by_overtime" sheetId="12" r:id="rId5"/>
    <sheet name="Attrition_by_Travel" sheetId="13" r:id="rId6"/>
    <sheet name="Attrition_by_Marital_Status" sheetId="14" r:id="rId7"/>
    <sheet name="Attrition_by _Age_Group" sheetId="18" r:id="rId8"/>
    <sheet name="Attrition_by_Work_Life_Balance" sheetId="19" r:id="rId9"/>
    <sheet name="Raw_Data" sheetId="1" r:id="rId10"/>
    <sheet name="Dashboard" sheetId="2" r:id="rId11"/>
    <sheet name="Executive_Summary" sheetId="3" r:id="rId12"/>
    <sheet name="SQL_Documentation_Sheet" sheetId="20" r:id="rId13"/>
    <sheet name="SQL_Queries" sheetId="21" r:id="rId14"/>
  </sheets>
  <definedNames>
    <definedName name="Slicer_AgeGroup">#N/A</definedName>
    <definedName name="Slicer_BusinessTravel">#N/A</definedName>
    <definedName name="Slicer_Department">#N/A</definedName>
    <definedName name="Slicer_JobRole">#N/A</definedName>
    <definedName name="Slicer_MaritalStatus">#N/A</definedName>
    <definedName name="Slicer_OverTime">#N/A</definedName>
    <definedName name="Slicer_WokrLifeBalanceGroup">#N/A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 i="1" l="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H8" i="19"/>
  <c r="H7" i="19"/>
  <c r="H6" i="19"/>
  <c r="H5" i="19"/>
  <c r="G6" i="18"/>
  <c r="G5" i="18"/>
  <c r="G4" i="18"/>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2" i="14"/>
  <c r="B1" i="14"/>
  <c r="B3" i="14"/>
  <c r="B3" i="13"/>
  <c r="B4" i="13"/>
  <c r="B5" i="13"/>
  <c r="H6" i="12"/>
  <c r="H5" i="12"/>
  <c r="G4" i="7"/>
  <c r="G5" i="7"/>
  <c r="G6" i="7"/>
  <c r="G7" i="7"/>
  <c r="G8" i="7"/>
  <c r="G9" i="7"/>
  <c r="G10" i="7"/>
  <c r="G11" i="7"/>
  <c r="G12" i="7"/>
  <c r="I13" i="6"/>
  <c r="I12" i="6"/>
  <c r="I11" i="6"/>
  <c r="E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C0D60-4AA3-44C0-B035-A697275F292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FB8AF17-04C2-4B44-8135-8ECD5612BDBE}"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964643B5-72B1-4C2B-A69F-184DCBC45569}"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<sst xmlns="http://schemas.openxmlformats.org/spreadsheetml/2006/main" count="13461" uniqueCount="154">
  <si>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</si>
  <si>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</si>
  <si>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</si>
  <si>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</si>
  <si>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</si>
  <si>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</si>
  <si>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</si>
  <si>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</si>
  <si>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</si>
  <si>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</si>
  <si>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</si>
  <si>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</si>
  <si>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</si>
  <si>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</si>
  <si>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</si>
  <si>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</si>
  <si>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</si>
  <si>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</si>
  <si>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</si>
  <si>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</si>
  <si>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</si>
  <si>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</si>
  <si>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</si>
  <si>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</si>
  <si>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</si>
  <si>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</si>
  <si>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</si>
  <si>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</si>
  <si>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</si>
  <si>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</si>
  <si>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</si>
  <si>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</si>
  <si>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</si>
  <si>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</si>
  <si>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</si>
  <si>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</si>
  <si>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</si>
  <si>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</si>
  <si>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</si>
  <si>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</si>
  <si>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</si>
  <si>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</si>
  <si>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</si>
  <si>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</si>
  <si>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</si>
  <si>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</si>
  <si>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</si>
  <si>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</si>
  <si>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</si>
  <si>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</si>
  <si>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</si>
  <si>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</si>
  <si>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</si>
  <si>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</si>
  <si>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</si>
  <si>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</si>
  <si>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</si>
  <si>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</si>
  <si>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</si>
  <si>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</si>
  <si>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</si>
  <si>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</si>
  <si>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Attrition Rate</t>
  </si>
  <si>
    <t>HR Analytics Dashboard</t>
  </si>
  <si>
    <t>Prepared by: Kamila Jasinska</t>
  </si>
  <si>
    <t>Column1</t>
  </si>
  <si>
    <t>Row Labels</t>
  </si>
  <si>
    <t>Grand Total</t>
  </si>
  <si>
    <t>Count of EmployeeNumber</t>
  </si>
  <si>
    <t>Attrition Rate by Job Role</t>
  </si>
  <si>
    <t>Job Role</t>
  </si>
  <si>
    <t>Overtime</t>
  </si>
  <si>
    <t>No Overtime</t>
  </si>
  <si>
    <t>Employees Left</t>
  </si>
  <si>
    <t>HR Employee Attrition Analysis | Excel Dashboard | 2026</t>
  </si>
  <si>
    <t>AgeGroup</t>
  </si>
  <si>
    <t>18-30</t>
  </si>
  <si>
    <t>31-50</t>
  </si>
  <si>
    <t>51+</t>
  </si>
  <si>
    <t>Age Group</t>
  </si>
  <si>
    <t>Work Life Balance</t>
  </si>
  <si>
    <t>WokrLifeBalanceGroup</t>
  </si>
  <si>
    <t>Poor</t>
  </si>
  <si>
    <t>Fair</t>
  </si>
  <si>
    <t>Good</t>
  </si>
  <si>
    <t>Excellent</t>
  </si>
  <si>
    <t>Business Objective</t>
  </si>
  <si>
    <t>Analyze employee attrition patterns and identify key factors associated with employee turnover.</t>
  </si>
  <si>
    <t>Key Findings</t>
  </si>
  <si>
    <t>Recommendations</t>
  </si>
  <si>
    <r>
      <rPr>
        <b/>
        <sz val="12"/>
        <color theme="1"/>
        <rFont val="Aptos Narrow"/>
        <family val="2"/>
        <scheme val="minor"/>
      </rPr>
      <t>1</t>
    </r>
    <r>
      <rPr>
        <sz val="12"/>
        <color theme="1"/>
        <rFont val="Aptos Narrow"/>
        <family val="2"/>
        <scheme val="minor"/>
      </rPr>
      <t xml:space="preserve">. Overall attrition rate: </t>
    </r>
    <r>
      <rPr>
        <b/>
        <sz val="12"/>
        <color theme="1"/>
        <rFont val="Aptos Narrow"/>
        <family val="2"/>
        <scheme val="minor"/>
      </rPr>
      <t>16.12%.</t>
    </r>
  </si>
  <si>
    <r>
      <rPr>
        <b/>
        <sz val="12"/>
        <color theme="1"/>
        <rFont val="Aptos Narrow"/>
        <family val="2"/>
        <scheme val="minor"/>
      </rPr>
      <t xml:space="preserve">2. </t>
    </r>
    <r>
      <rPr>
        <sz val="12"/>
        <color theme="1"/>
        <rFont val="Aptos Narrow"/>
        <family val="2"/>
        <scheme val="minor"/>
      </rPr>
      <t>Sales Representatives have the highest attrition rate</t>
    </r>
    <r>
      <rPr>
        <b/>
        <sz val="12"/>
        <color theme="1"/>
        <rFont val="Aptos Narrow"/>
        <family val="2"/>
        <scheme val="minor"/>
      </rPr>
      <t xml:space="preserve"> (39.76%).</t>
    </r>
  </si>
  <si>
    <r>
      <rPr>
        <b/>
        <sz val="12"/>
        <color theme="1"/>
        <rFont val="Aptos Narrow"/>
        <family val="2"/>
        <scheme val="minor"/>
      </rPr>
      <t xml:space="preserve">3. </t>
    </r>
    <r>
      <rPr>
        <sz val="12"/>
        <color theme="1"/>
        <rFont val="Aptos Narrow"/>
        <family val="2"/>
        <scheme val="minor"/>
      </rPr>
      <t xml:space="preserve">Employees working overtime are nearly </t>
    </r>
    <r>
      <rPr>
        <b/>
        <sz val="12"/>
        <color theme="1"/>
        <rFont val="Aptos Narrow"/>
        <family val="2"/>
        <scheme val="minor"/>
      </rPr>
      <t xml:space="preserve">3x </t>
    </r>
    <r>
      <rPr>
        <sz val="12"/>
        <color theme="1"/>
        <rFont val="Aptos Narrow"/>
        <family val="2"/>
        <scheme val="minor"/>
      </rPr>
      <t>more likely to leave.</t>
    </r>
  </si>
  <si>
    <r>
      <rPr>
        <b/>
        <sz val="12"/>
        <color theme="1"/>
        <rFont val="Aptos Narrow"/>
        <family val="2"/>
        <scheme val="minor"/>
      </rPr>
      <t xml:space="preserve">4. </t>
    </r>
    <r>
      <rPr>
        <sz val="12"/>
        <color theme="1"/>
        <rFont val="Aptos Narrow"/>
        <family val="2"/>
        <scheme val="minor"/>
      </rPr>
      <t>Frequent business travel is associated with higher attrition.</t>
    </r>
  </si>
  <si>
    <r>
      <rPr>
        <b/>
        <sz val="12"/>
        <color theme="1"/>
        <rFont val="Aptos Narrow"/>
        <family val="2"/>
        <scheme val="minor"/>
      </rPr>
      <t xml:space="preserve">5. </t>
    </r>
    <r>
      <rPr>
        <sz val="12"/>
        <color theme="1"/>
        <rFont val="Aptos Narrow"/>
        <family val="2"/>
        <scheme val="minor"/>
      </rPr>
      <t xml:space="preserve">Employees aged </t>
    </r>
    <r>
      <rPr>
        <b/>
        <sz val="12"/>
        <color theme="1"/>
        <rFont val="Aptos Narrow"/>
        <family val="2"/>
        <scheme val="minor"/>
      </rPr>
      <t>18–30</t>
    </r>
    <r>
      <rPr>
        <sz val="12"/>
        <color theme="1"/>
        <rFont val="Aptos Narrow"/>
        <family val="2"/>
        <scheme val="minor"/>
      </rPr>
      <t xml:space="preserve"> have the highest attrition rate </t>
    </r>
    <r>
      <rPr>
        <b/>
        <sz val="12"/>
        <color theme="1"/>
        <rFont val="Aptos Narrow"/>
        <family val="2"/>
        <scheme val="minor"/>
      </rPr>
      <t>(25.91%).</t>
    </r>
  </si>
  <si>
    <r>
      <rPr>
        <b/>
        <sz val="12"/>
        <color theme="1"/>
        <rFont val="Aptos Narrow"/>
        <family val="2"/>
        <scheme val="minor"/>
      </rPr>
      <t xml:space="preserve">6. </t>
    </r>
    <r>
      <rPr>
        <sz val="12"/>
        <color theme="1"/>
        <rFont val="Aptos Narrow"/>
        <family val="2"/>
        <scheme val="minor"/>
      </rPr>
      <t xml:space="preserve">Poor work-life balance is linked to the highest attrition </t>
    </r>
    <r>
      <rPr>
        <b/>
        <sz val="12"/>
        <color theme="1"/>
        <rFont val="Aptos Narrow"/>
        <family val="2"/>
        <scheme val="minor"/>
      </rPr>
      <t>(31.25%).</t>
    </r>
  </si>
  <si>
    <r>
      <rPr>
        <b/>
        <sz val="12"/>
        <color theme="1"/>
        <rFont val="Aptos Narrow"/>
        <family val="2"/>
        <scheme val="minor"/>
      </rPr>
      <t xml:space="preserve">1. </t>
    </r>
    <r>
      <rPr>
        <sz val="12"/>
        <color theme="1"/>
        <rFont val="Aptos Narrow"/>
        <family val="2"/>
        <scheme val="minor"/>
      </rPr>
      <t>Reduce excessive overtime</t>
    </r>
  </si>
  <si>
    <r>
      <rPr>
        <b/>
        <sz val="12"/>
        <color theme="1"/>
        <rFont val="Aptos Narrow"/>
        <family val="2"/>
        <scheme val="minor"/>
      </rPr>
      <t xml:space="preserve">2. </t>
    </r>
    <r>
      <rPr>
        <sz val="12"/>
        <color theme="1"/>
        <rFont val="Aptos Narrow"/>
        <family val="2"/>
        <scheme val="minor"/>
      </rPr>
      <t>Improve work-life balance initiatives</t>
    </r>
  </si>
  <si>
    <r>
      <rPr>
        <b/>
        <sz val="12"/>
        <color theme="1"/>
        <rFont val="Aptos Narrow"/>
        <family val="2"/>
        <scheme val="minor"/>
      </rPr>
      <t xml:space="preserve">3. </t>
    </r>
    <r>
      <rPr>
        <sz val="12"/>
        <color theme="1"/>
        <rFont val="Aptos Narrow"/>
        <family val="2"/>
        <scheme val="minor"/>
      </rPr>
      <t>Focus retention efforts on younger employees</t>
    </r>
  </si>
  <si>
    <r>
      <rPr>
        <b/>
        <sz val="12"/>
        <color theme="1"/>
        <rFont val="Aptos Narrow"/>
        <family val="2"/>
        <scheme val="minor"/>
      </rPr>
      <t xml:space="preserve">4. </t>
    </r>
    <r>
      <rPr>
        <sz val="12"/>
        <color theme="1"/>
        <rFont val="Aptos Narrow"/>
        <family val="2"/>
        <scheme val="minor"/>
      </rPr>
      <t>Review workload and support for Sales Representatives</t>
    </r>
  </si>
  <si>
    <r>
      <rPr>
        <b/>
        <sz val="12"/>
        <color theme="1"/>
        <rFont val="Aptos Narrow"/>
        <family val="2"/>
        <scheme val="minor"/>
      </rPr>
      <t xml:space="preserve">5. </t>
    </r>
    <r>
      <rPr>
        <sz val="12"/>
        <color theme="1"/>
        <rFont val="Aptos Narrow"/>
        <family val="2"/>
        <scheme val="minor"/>
      </rPr>
      <t>Assess travel requirements for frequently travelling employees</t>
    </r>
  </si>
  <si>
    <t>Question</t>
  </si>
  <si>
    <t>Insight</t>
  </si>
  <si>
    <t>Which job role has the highest attrition?</t>
  </si>
  <si>
    <t>Does overtime impact attrition?</t>
  </si>
  <si>
    <t>Does business travel affect attrition?</t>
  </si>
  <si>
    <t>Which age group leaves most often?</t>
  </si>
  <si>
    <t>Does work-life balance affect attrition?</t>
  </si>
  <si>
    <t>Do single employees leave more often?</t>
  </si>
  <si>
    <r>
      <rPr>
        <sz val="12"/>
        <color theme="1"/>
        <rFont val="Aptos Narrow"/>
        <family val="2"/>
        <scheme val="minor"/>
      </rPr>
      <t xml:space="preserve">Sales Representative </t>
    </r>
    <r>
      <rPr>
        <b/>
        <sz val="12"/>
        <color theme="1"/>
        <rFont val="Aptos Narrow"/>
        <family val="2"/>
        <scheme val="minor"/>
      </rPr>
      <t>(39.76%)</t>
    </r>
  </si>
  <si>
    <r>
      <t xml:space="preserve">Yes, overtime employees show nearly </t>
    </r>
    <r>
      <rPr>
        <b/>
        <sz val="12"/>
        <color theme="1"/>
        <rFont val="Aptos Narrow"/>
        <family val="2"/>
        <scheme val="minor"/>
      </rPr>
      <t>3x</t>
    </r>
    <r>
      <rPr>
        <sz val="12"/>
        <color theme="1"/>
        <rFont val="Aptos Narrow"/>
        <family val="2"/>
        <scheme val="minor"/>
      </rPr>
      <t xml:space="preserve"> higher attrition</t>
    </r>
  </si>
  <si>
    <r>
      <t xml:space="preserve">Frequent travellers have highest attrition </t>
    </r>
    <r>
      <rPr>
        <b/>
        <sz val="12"/>
        <color theme="1"/>
        <rFont val="Aptos Narrow"/>
        <family val="2"/>
        <scheme val="minor"/>
      </rPr>
      <t>(33.17%)</t>
    </r>
  </si>
  <si>
    <r>
      <t xml:space="preserve">18–30 years </t>
    </r>
    <r>
      <rPr>
        <b/>
        <sz val="12"/>
        <color theme="1"/>
        <rFont val="Aptos Narrow"/>
        <family val="2"/>
        <scheme val="minor"/>
      </rPr>
      <t>(25.91%)</t>
    </r>
  </si>
  <si>
    <r>
      <t xml:space="preserve">Poor balance has highest attrition </t>
    </r>
    <r>
      <rPr>
        <b/>
        <sz val="12"/>
        <color theme="1"/>
        <rFont val="Aptos Narrow"/>
        <family val="2"/>
        <scheme val="minor"/>
      </rPr>
      <t>(31.25%)</t>
    </r>
  </si>
  <si>
    <r>
      <t xml:space="preserve">Yes </t>
    </r>
    <r>
      <rPr>
        <b/>
        <sz val="12"/>
        <color theme="1"/>
        <rFont val="Aptos Narrow"/>
        <family val="2"/>
        <scheme val="minor"/>
      </rPr>
      <t>(25.53%)</t>
    </r>
  </si>
  <si>
    <t xml:space="preserve">SQL Documentation </t>
  </si>
  <si>
    <t>HR Employee Attrition Analysis Dashboard</t>
  </si>
  <si>
    <t>Data source: IBM HR Analytics Employee Attrition Dataset</t>
  </si>
  <si>
    <t>SQL Concept Used</t>
  </si>
  <si>
    <t>GROUP BY, COUNT(), ORDER BY</t>
  </si>
  <si>
    <t>GROUP BY, CASE, COUNT()</t>
  </si>
  <si>
    <t>GROUP BY, COUNT()</t>
  </si>
  <si>
    <t>CASE, GROUP BY, COUNT()</t>
  </si>
  <si>
    <t>Dataset: IBM HR Analytics Employee Attrition Dataset</t>
  </si>
  <si>
    <t>Tools Used: Excel, Pivot Table, Pivot Charts, Slicers, SQL</t>
  </si>
  <si>
    <t>SQL Queries</t>
  </si>
  <si>
    <t>SELECT JobRole, ROUND(100.0*SUM(CASE WHEN Attrition = 'Yes' THEN 1 ELSE 0 END)/COUNT(*),2) AS AttritionRate</t>
  </si>
  <si>
    <t>FROM HR_Employees_Analysis</t>
  </si>
  <si>
    <t>GROUP BY JobRole</t>
  </si>
  <si>
    <t>ORDER BY AttritionRate DESC;</t>
  </si>
  <si>
    <t>SELECT OverTime, ROUND(100.0*SUM( CASE WHEN Attrition = 'Yes' THEN 1 ELSE 0 END)/COUNT(*),2) AS AttritionRate</t>
  </si>
  <si>
    <t>GROUP BY OverTime;</t>
  </si>
  <si>
    <t>SELECT BusinessTravel, ROUND( 100.0*SUM(CASE WHEN Attrition = 'Yes' THEN 1 ELSE 0 END)/COUNT(*),2) AS AttritionRate</t>
  </si>
  <si>
    <t>GROUP BY BusinessTravel</t>
  </si>
  <si>
    <t>ORDER BY Attrition;</t>
  </si>
  <si>
    <t>SELECT</t>
  </si>
  <si>
    <t>CASE</t>
  </si>
  <si>
    <t>WHEN Column1 &lt; 30 THEN 'Under 30'</t>
  </si>
  <si>
    <t>WHEN Column1 BETWEEN 30 AND 40 THEN '30-40'</t>
  </si>
  <si>
    <t>WHEN Column1 BETWEEN 41 AND 50 THEN '41-50'</t>
  </si>
  <si>
    <t>ELSE '50+'</t>
  </si>
  <si>
    <t>END AS AgeGroup,</t>
  </si>
  <si>
    <t>ROUND (100.0*SUM(CASE WHEN Attrition = 'Yes' THEN 1 ELSE 0 END)/COUNT(*),2) AS AttritionRate</t>
  </si>
  <si>
    <t>GROUP BY AgeGroup</t>
  </si>
  <si>
    <t>SELECT WorkLifeBalance, ROUND(100.0*SUM(CASE WHEN attrition = 'Yes' THEN 1 ELSE 0 END)/COUNT(*),2) AS AttritionRate</t>
  </si>
  <si>
    <t>GROUP BY WorkLifeBalance</t>
  </si>
  <si>
    <t>Does distance from home affect attrition?</t>
  </si>
  <si>
    <t>WHEN DistanceFromHome &lt;= 5 THEN '0-5 Miles'</t>
  </si>
  <si>
    <t>WHEN DistanceFromHome &lt;= 15 THEN '6-15 Miles'</t>
  </si>
  <si>
    <t>WHEN DistanceFromHome &lt;= 25 THEN '16-25 Miles'</t>
  </si>
  <si>
    <t>ELSE '25+ Miles'</t>
  </si>
  <si>
    <t>END AS DistanceGroup,</t>
  </si>
  <si>
    <t>ROUND(100.0*SUM(CASE WHEN attrition = 'Yes' THEN 1 ELSE 0 END)/COUNT(*),2) AS AttritionRate</t>
  </si>
  <si>
    <t>GROUP BY DistanceGroup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</si>
</sst>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24"/>
      <color theme="4" tint="-0.499984740745262"/>
      <name val="Aptos Narrow"/>
      <family val="2"/>
      <scheme val="minor"/>
    </font>
    <font>
      <b/>
      <sz val="14"/>
      <color theme="4" tint="-0.499984740745262"/>
      <name val="Aptos Narrow"/>
      <family val="2"/>
      <scheme val="minor"/>
    </font>
    <font>
      <sz val="11"/>
      <color rgb="FFC00000"/>
      <name val="Aptos Narrow"/>
      <family val="2"/>
      <scheme val="minor"/>
    </font>
    <font>
      <b/>
      <sz val="20"/>
      <color theme="4" tint="-0.499984740745262"/>
      <name val="Aptos Narrow"/>
      <family val="2"/>
      <scheme val="minor"/>
    </font>
    <font>
      <b/>
      <sz val="22"/>
      <color theme="1"/>
      <name val="Aptos Narrow"/>
      <family val="2"/>
      <scheme val="minor"/>
    </font>
    <font>
      <sz val="12"/>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0" fontId="16" fillId="0" borderId="0" xfId="0" applyFont="1"/>
    <xf numFmtId="0" fontId="18" fillId="0" borderId="0" xfId="0" applyFont="1"/>
    <xf numFmtId="0" fontId="19" fillId="0" borderId="0" xfId="0" applyFont="1"/>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10" fontId="0" fillId="0" borderId="0" xfId="42" applyNumberFormat="1" applyFont="1"/>
    <xf numFmtId="0" fontId="20" fillId="0" borderId="0" xfId="0" applyFont="1" applyAlignment="1">
      <alignment horizontal="right"/>
    </xf>
    <xf numFmtId="0" fontId="0" fillId="0" borderId="0" xfId="0" applyAlignment="1">
      <alignment horizontal="center"/>
    </xf>
    <xf numFmtId="10" fontId="21" fillId="0" borderId="0" xfId="42" applyNumberFormat="1" applyFont="1"/>
    <xf numFmtId="0" fontId="0" fillId="33" borderId="0" xfId="0" applyFill="1" applyAlignment="1">
      <alignment horizontal="center"/>
    </xf>
    <xf numFmtId="0" fontId="18" fillId="33" borderId="0" xfId="0" applyFont="1" applyFill="1" applyAlignment="1">
      <alignment horizontal="center"/>
    </xf>
    <xf numFmtId="0" fontId="23" fillId="33" borderId="0" xfId="0" applyFont="1" applyFill="1" applyAlignment="1">
      <alignment horizontal="center"/>
    </xf>
    <xf numFmtId="10" fontId="23" fillId="33" borderId="0" xfId="0" applyNumberFormat="1" applyFont="1" applyFill="1" applyAlignment="1">
      <alignment horizontal="center"/>
    </xf>
    <xf numFmtId="0" fontId="0" fillId="0" borderId="0" xfId="0" applyAlignment="1">
      <alignment horizontal="center"/>
    </xf>
    <xf numFmtId="2" fontId="0" fillId="0" borderId="0" xfId="0" applyNumberFormat="1"/>
    <xf numFmtId="10" fontId="16" fillId="0" borderId="0" xfId="0" applyNumberFormat="1" applyFont="1"/>
    <xf numFmtId="0" fontId="18" fillId="0" borderId="0" xfId="0" applyFont="1" applyAlignment="1">
      <alignment vertical="center"/>
    </xf>
    <xf numFmtId="0" fontId="24" fillId="0" borderId="0" xfId="0" applyFont="1"/>
    <xf numFmtId="0" fontId="24" fillId="0" borderId="0" xfId="0" applyFont="1" applyAlignment="1">
      <alignment horizontal="left" vertical="center" indent="1"/>
    </xf>
    <xf numFmtId="0" fontId="18" fillId="0" borderId="0" xfId="0" applyFont="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0" fontId="27" fillId="0" borderId="0" xfId="0" applyFont="1" applyAlignment="1">
      <alignment horizontal="center"/>
    </xf>
    <xf numFmtId="0" fontId="26" fillId="0" borderId="0" xfId="0" applyFont="1"/>
    <xf numFmtId="0" fontId="28" fillId="0" borderId="0" xfId="0" applyFont="1"/>
    <xf numFmtId="0" fontId="22"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33">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general" vertical="center" textRotation="0" wrapText="1" indent="0" justifyLastLine="0" shrinkToFit="0" readingOrder="0"/>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numFmt numFmtId="2"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[HR_Employees_Analysis.xlsx]Calculations!PivotTable2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Calculations!$B$1:$B$2</c:f>
              <c:strCache>
                <c:ptCount val="1"/>
                <c:pt idx="0">
                  <c:v>No</c:v>
                </c:pt>
              </c:strCache>
            </c:strRef>
          </c:tx>
          <c:spPr>
            <a:solidFill>
              <a:schemeClr val="accent1"/>
            </a:solidFill>
            <a:ln>
              <a:noFill/>
            </a:ln>
            <a:effectLst/>
          </c:spPr>
          <c:invertIfNegative val="0"/>
          <c:cat>
            <c:strRef>
              <c:f>Calculations!$A$3:$A$6</c:f>
              <c:strCache>
                <c:ptCount val="3"/>
                <c:pt idx="0">
                  <c:v>Human Resources</c:v>
                </c:pt>
                <c:pt idx="1">
                  <c:v>Research &amp; Development</c:v>
                </c:pt>
                <c:pt idx="2">
                  <c:v>Sales</c:v>
                </c:pt>
              </c:strCache>
            </c:strRef>
          </c:cat>
          <c:val>
            <c:numRef>
              <c:f>Calculations!$B$3:$B$6</c:f>
              <c:numCache>
                <c:formatCode>General</c:formatCode>
                <c:ptCount val="3"/>
                <c:pt idx="0">
                  <c:v>51</c:v>
                </c:pt>
                <c:pt idx="1">
                  <c:v>828</c:v>
                </c:pt>
                <c:pt idx="2">
                  <c:v>354</c:v>
                </c:pt>
              </c:numCache>
            </c:numRef>
          </c:val>
          <c:extLst>
            <c:ext xmlns:c16="http://schemas.microsoft.com/office/drawing/2014/chart" uri="{C3380CC4-5D6E-409C-BE32-E72D297353CC}">
              <c16:uniqueId val="{00000000-EE7A-4808-9FC0-A40B16CC8570}"/>
            </c:ext>
          </c:extLst>
        </c:ser>
        <c:ser>
          <c:idx val="1"/>
          <c:order val="1"/>
          <c:tx>
            <c:strRef>
              <c:f>Calculations!$C$1:$C$2</c:f>
              <c:strCache>
                <c:ptCount val="1"/>
                <c:pt idx="0">
                  <c:v>Yes</c:v>
                </c:pt>
              </c:strCache>
            </c:strRef>
          </c:tx>
          <c:spPr>
            <a:solidFill>
              <a:schemeClr val="accent2"/>
            </a:solidFill>
            <a:ln>
              <a:noFill/>
            </a:ln>
            <a:effectLst/>
          </c:spPr>
          <c:invertIfNegative val="0"/>
          <c:cat>
            <c:strRef>
              <c:f>Calculations!$A$3:$A$6</c:f>
              <c:strCache>
                <c:ptCount val="3"/>
                <c:pt idx="0">
                  <c:v>Human Resources</c:v>
                </c:pt>
                <c:pt idx="1">
                  <c:v>Research &amp; Development</c:v>
                </c:pt>
                <c:pt idx="2">
                  <c:v>Sales</c:v>
                </c:pt>
              </c:strCache>
            </c:strRef>
          </c:cat>
          <c:val>
            <c:numRef>
              <c:f>Calculations!$C$3:$C$6</c:f>
              <c:numCache>
                <c:formatCode>General</c:formatCode>
                <c:ptCount val="3"/>
                <c:pt idx="0">
                  <c:v>12</c:v>
                </c:pt>
                <c:pt idx="1">
                  <c:v>133</c:v>
                </c:pt>
                <c:pt idx="2">
                  <c:v>92</c:v>
                </c:pt>
              </c:numCache>
            </c:numRef>
          </c:val>
          <c:extLst>
            <c:ext xmlns:c16="http://schemas.microsoft.com/office/drawing/2014/chart" uri="{C3380CC4-5D6E-409C-BE32-E72D297353CC}">
              <c16:uniqueId val="{00000001-EE7A-4808-9FC0-A40B16CC8570}"/>
            </c:ext>
          </c:extLst>
        </c:ser>
        <c:dLbls>
          <c:showLegendKey val="0"/>
          <c:showVal val="0"/>
          <c:showCatName val="0"/>
          <c:showSerName val="0"/>
          <c:showPercent val="0"/>
          <c:showBubbleSize val="0"/>
        </c:dLbls>
        <c:gapWidth val="219"/>
        <c:overlap val="-27"/>
        <c:axId val="923240991"/>
        <c:axId val="912426687"/>
      </c:barChart>
      <c:catAx>
        <c:axId val="9232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12426687"/>
        <c:crosses val="autoZero"/>
        <c:auto val="1"/>
        <c:lblAlgn val="ctr"/>
        <c:lblOffset val="100"/>
        <c:noMultiLvlLbl val="0"/>
      </c:catAx>
      <c:valAx>
        <c:axId val="91242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232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Rate by Job Role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General</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Lit>
          </c:val>
          <c:extLst>
            <c:ext xmlns:c16="http://schemas.microsoft.com/office/drawing/2014/chart" uri="{C3380CC4-5D6E-409C-BE32-E72D297353CC}">
              <c16:uniqueId val="{00000000-9B65-4E4C-9444-68F0C4DB3284}"/>
            </c:ext>
          </c:extLst>
        </c:ser>
        <c:dLbls>
          <c:dLblPos val="outEnd"/>
          <c:showLegendKey val="0"/>
          <c:showVal val="1"/>
          <c:showCatName val="0"/>
          <c:showSerName val="0"/>
          <c:showPercent val="0"/>
          <c:showBubbleSize val="0"/>
        </c:dLbls>
        <c:gapWidth val="219"/>
        <c:axId val="1195558335"/>
        <c:axId val="1195556895"/>
      </c:barChart>
      <c:catAx>
        <c:axId val="11955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6895"/>
        <c:crosses val="autoZero"/>
        <c:auto val="1"/>
        <c:lblAlgn val="ctr"/>
        <c:lblOffset val="100"/>
        <c:noMultiLvlLbl val="0"/>
      </c:catAx>
      <c:valAx>
        <c:axId val="1195556895"/>
        <c:scaling>
          <c:orientation val="minMax"/>
          <c:max val="0.45"/>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8335"/>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 by Overtime Status (%)</a:t>
            </a:r>
          </a:p>
          <a:p>
            <a:pPr>
              <a:defRPr/>
            </a:pPr>
            <a:endParaRPr lang="pl-PL"/>
          </a:p>
        </c:rich>
      </c:tx>
      <c:layout>
        <c:manualLayout>
          <c:xMode val="edge"/>
          <c:yMode val="edge"/>
          <c:x val="0.2340901137357830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Attrition_by_overtime!$G$5:$G$6</c:f>
              <c:strCache>
                <c:ptCount val="2"/>
                <c:pt idx="0">
                  <c:v>Overtime</c:v>
                </c:pt>
                <c:pt idx="1">
                  <c:v>No Overtime</c:v>
                </c:pt>
              </c:strCache>
            </c:strRef>
          </c:cat>
          <c:val>
            <c:numRef>
              <c:f>Attrition_by_overtime!$H$5:$H$6</c:f>
              <c:numCache>
                <c:formatCode>0.00%</c:formatCode>
                <c:ptCount val="2"/>
                <c:pt idx="0">
                  <c:v>0.30528846153846156</c:v>
                </c:pt>
                <c:pt idx="1">
                  <c:v>0.10436432637571158</c:v>
                </c:pt>
              </c:numCache>
            </c:numRef>
          </c:val>
          <c:extLst>
            <c:ext xmlns:c16="http://schemas.microsoft.com/office/drawing/2014/chart" uri="{C3380CC4-5D6E-409C-BE32-E72D297353CC}">
              <c16:uniqueId val="{00000000-3D02-491D-AEA1-5ED7A5F9D72D}"/>
            </c:ext>
          </c:extLst>
        </c:ser>
        <c:dLbls>
          <c:dLblPos val="outEnd"/>
          <c:showLegendKey val="0"/>
          <c:showVal val="1"/>
          <c:showCatName val="0"/>
          <c:showSerName val="0"/>
          <c:showPercent val="0"/>
          <c:showBubbleSize val="0"/>
        </c:dLbls>
        <c:gapWidth val="182"/>
        <c:axId val="1923336368"/>
        <c:axId val="1923336848"/>
      </c:barChart>
      <c:catAx>
        <c:axId val="1923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848"/>
        <c:crosses val="autoZero"/>
        <c:auto val="1"/>
        <c:lblAlgn val="ctr"/>
        <c:lblOffset val="100"/>
        <c:noMultiLvlLbl val="0"/>
      </c:catAx>
      <c:valAx>
        <c:axId val="19233368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368"/>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Travel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Attrition_by_Travel!$A$3:$A$5</c:f>
              <c:strCache>
                <c:ptCount val="3"/>
                <c:pt idx="0">
                  <c:v>Travel_Frequently</c:v>
                </c:pt>
                <c:pt idx="1">
                  <c:v>Travel_Rarely</c:v>
                </c:pt>
                <c:pt idx="2">
                  <c:v>Non-Travel</c:v>
                </c:pt>
              </c:strCache>
            </c:strRef>
          </c:cat>
          <c:val>
            <c:numRef>
              <c:f>Attrition_by_Travel!$B$3:$B$5</c:f>
              <c:numCache>
                <c:formatCode>0.00%</c:formatCode>
                <c:ptCount val="3"/>
                <c:pt idx="0">
                  <c:v>0.33173076923076922</c:v>
                </c:pt>
                <c:pt idx="1">
                  <c:v>0.14956855225311602</c:v>
                </c:pt>
                <c:pt idx="2">
                  <c:v>0.08</c:v>
                </c:pt>
              </c:numCache>
            </c:numRef>
          </c:val>
          <c:extLst>
            <c:ext xmlns:c16="http://schemas.microsoft.com/office/drawing/2014/chart" uri="{C3380CC4-5D6E-409C-BE32-E72D297353CC}">
              <c16:uniqueId val="{00000000-F611-4DE6-A4E7-8872B1A6DB33}"/>
            </c:ext>
          </c:extLst>
        </c:ser>
        <c:dLbls>
          <c:dLblPos val="outEnd"/>
          <c:showLegendKey val="0"/>
          <c:showVal val="1"/>
          <c:showCatName val="0"/>
          <c:showSerName val="0"/>
          <c:showPercent val="0"/>
          <c:showBubbleSize val="0"/>
        </c:dLbls>
        <c:gapWidth val="182"/>
        <c:axId val="1851398624"/>
        <c:axId val="1851395264"/>
      </c:barChart>
      <c:catAx>
        <c:axId val="18513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5264"/>
        <c:crosses val="autoZero"/>
        <c:auto val="1"/>
        <c:lblAlgn val="ctr"/>
        <c:lblOffset val="100"/>
        <c:noMultiLvlLbl val="0"/>
      </c:catAx>
      <c:valAx>
        <c:axId val="185139526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862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 (%)</a:t>
            </a:r>
          </a:p>
        </c:rich>
      </c:tx>
      <c:layout>
        <c:manualLayout>
          <c:xMode val="edge"/>
          <c:yMode val="edge"/>
          <c:x val="0.25335411198600177"/>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Attrition_by_Marital_Status!$A$1:$A$3</c:f>
              <c:strCache>
                <c:ptCount val="3"/>
                <c:pt idx="0">
                  <c:v>Divorced</c:v>
                </c:pt>
                <c:pt idx="1">
                  <c:v>Married</c:v>
                </c:pt>
                <c:pt idx="2">
                  <c:v>Single</c:v>
                </c:pt>
              </c:strCache>
            </c:strRef>
          </c:cat>
          <c:val>
            <c:numRef>
              <c:f>Attrition_by_Marital_Status!$B$1:$B$3</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15B1-47BD-9D96-5CA63E8DB500}"/>
            </c:ext>
          </c:extLst>
        </c:ser>
        <c:dLbls>
          <c:dLblPos val="outEnd"/>
          <c:showLegendKey val="0"/>
          <c:showVal val="1"/>
          <c:showCatName val="0"/>
          <c:showSerName val="0"/>
          <c:showPercent val="0"/>
          <c:showBubbleSize val="0"/>
        </c:dLbls>
        <c:gapWidth val="182"/>
        <c:axId val="1851408704"/>
        <c:axId val="1851405824"/>
      </c:barChart>
      <c:catAx>
        <c:axId val="185140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5824"/>
        <c:crosses val="autoZero"/>
        <c:auto val="1"/>
        <c:lblAlgn val="ctr"/>
        <c:lblOffset val="100"/>
        <c:noMultiLvlLbl val="0"/>
      </c:catAx>
      <c:valAx>
        <c:axId val="18514058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870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Attrition </a:t>
            </a:r>
            <a:r>
              <a:rPr lang="en-GB"/>
              <a:t>by</a:t>
            </a:r>
            <a:r>
              <a:rPr lang="en-GB" baseline="0"/>
              <a:t> Age Group</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9.9456036745406817E-2"/>
          <c:y val="0.17634259259259263"/>
          <c:w val="0.84140507436570433"/>
          <c:h val="0.72125801983085447"/>
        </c:manualLayout>
      </c:layout>
      <c:barChart>
        <c:barDir val="bar"/>
        <c:grouping val="clustered"/>
        <c:varyColors val="0"/>
        <c:ser>
          <c:idx val="0"/>
          <c:order val="0"/>
          <c:tx>
            <c:strRef>
              <c:f>'Attrition_by _Age_Group'!$G$3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 _Age_Group'!$F$4:$F$6</c:f>
              <c:strCache>
                <c:ptCount val="3"/>
                <c:pt idx="0">
                  <c:v>18-30</c:v>
                </c:pt>
                <c:pt idx="1">
                  <c:v>31-50</c:v>
                </c:pt>
                <c:pt idx="2">
                  <c:v>51+</c:v>
                </c:pt>
              </c:strCache>
            </c:strRef>
          </c:cat>
          <c:val>
            <c:numRef>
              <c:f>'Attrition_by _Age_Group'!$G$4:$G$6</c:f>
              <c:numCache>
                <c:formatCode>0.00</c:formatCode>
                <c:ptCount val="3"/>
                <c:pt idx="0">
                  <c:v>25.906735751295333</c:v>
                </c:pt>
                <c:pt idx="1">
                  <c:v>12.646121147715197</c:v>
                </c:pt>
                <c:pt idx="2">
                  <c:v>12.587412587412588</c:v>
                </c:pt>
              </c:numCache>
            </c:numRef>
          </c:val>
          <c:extLst>
            <c:ext xmlns:c16="http://schemas.microsoft.com/office/drawing/2014/chart" uri="{C3380CC4-5D6E-409C-BE32-E72D297353CC}">
              <c16:uniqueId val="{00000000-06DD-4EBD-9073-2042956BCAA6}"/>
            </c:ext>
          </c:extLst>
        </c:ser>
        <c:dLbls>
          <c:dLblPos val="outEnd"/>
          <c:showLegendKey val="0"/>
          <c:showVal val="1"/>
          <c:showCatName val="0"/>
          <c:showSerName val="0"/>
          <c:showPercent val="0"/>
          <c:showBubbleSize val="0"/>
        </c:dLbls>
        <c:gapWidth val="182"/>
        <c:axId val="1273192383"/>
        <c:axId val="1273193823"/>
      </c:barChart>
      <c:catAx>
        <c:axId val="12731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3823"/>
        <c:crossesAt val="0"/>
        <c:auto val="1"/>
        <c:lblAlgn val="ctr"/>
        <c:lblOffset val="100"/>
        <c:noMultiLvlLbl val="0"/>
      </c:catAx>
      <c:valAx>
        <c:axId val="12731938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2383"/>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tx>
            <c:strRef>
              <c:f>Attrition_by_Work_Life_Balance!$H$4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Attrition_by_Work_Life_Balance!$G$5:$G$8</c:f>
              <c:strCache>
                <c:ptCount val="4"/>
                <c:pt idx="0">
                  <c:v>Poor</c:v>
                </c:pt>
                <c:pt idx="1">
                  <c:v>Fair</c:v>
                </c:pt>
                <c:pt idx="2">
                  <c:v>Good</c:v>
                </c:pt>
                <c:pt idx="3">
                  <c:v>Excellent</c:v>
                </c:pt>
              </c:strCache>
            </c:strRef>
          </c:cat>
          <c:val>
            <c:numRef>
              <c:f>Attrition_by_Work_Life_Balance!$H$5:$H$8</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AE06-4EA7-9459-5953C8F54A39}"/>
            </c:ext>
          </c:extLst>
        </c:ser>
        <c:dLbls>
          <c:dLblPos val="outEnd"/>
          <c:showLegendKey val="0"/>
          <c:showVal val="1"/>
          <c:showCatName val="0"/>
          <c:showSerName val="0"/>
          <c:showPercent val="0"/>
          <c:showBubbleSize val="0"/>
        </c:dLbls>
        <c:gapWidth val="182"/>
        <c:axId val="1667376896"/>
        <c:axId val="1493157184"/>
      </c:barChart>
      <c:catAx>
        <c:axId val="16673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93157184"/>
        <c:crosses val="autoZero"/>
        <c:auto val="1"/>
        <c:lblAlgn val="ctr"/>
        <c:lblOffset val="100"/>
        <c:noMultiLvlLbl val="0"/>
      </c:catAx>
      <c:valAx>
        <c:axId val="149315718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7376896"/>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[HR_Employees_Analysis.xlsx]Calculations!PivotTable2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 by</a:t>
            </a:r>
            <a:r>
              <a:rPr lang="en-GB" baseline="0"/>
              <a:t>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47111111111116E-2"/>
          <c:y val="0.14925218990462605"/>
          <c:w val="0.79068777777777777"/>
          <c:h val="0.76880262421745882"/>
        </c:manualLayout>
      </c:layout>
      <c:barChart>
        <c:barDir val="col"/>
        <c:grouping val="clustered"/>
        <c:varyColors val="0"/>
        <c:ser>
          <c:idx val="0"/>
          <c:order val="0"/>
          <c:tx>
            <c:strRef>
              <c:f>Calculations!$B$1:$B$2</c:f>
              <c:strCache>
                <c:ptCount val="1"/>
                <c:pt idx="0">
                  <c:v>No</c:v>
                </c:pt>
              </c:strCache>
            </c:strRef>
          </c:tx>
          <c:spPr>
            <a:solidFill>
              <a:schemeClr val="accent1"/>
            </a:solidFill>
            <a:ln>
              <a:noFill/>
            </a:ln>
            <a:effectLst/>
          </c:spPr>
          <c:invertIfNegative val="0"/>
          <c:cat>
            <c:strRef>
              <c:f>Calculations!$A$3:$A$6</c:f>
              <c:strCache>
                <c:ptCount val="3"/>
                <c:pt idx="0">
                  <c:v>Human Resources</c:v>
                </c:pt>
                <c:pt idx="1">
                  <c:v>Research &amp; Development</c:v>
                </c:pt>
                <c:pt idx="2">
                  <c:v>Sales</c:v>
                </c:pt>
              </c:strCache>
            </c:strRef>
          </c:cat>
          <c:val>
            <c:numRef>
              <c:f>Calculations!$B$3:$B$6</c:f>
              <c:numCache>
                <c:formatCode>General</c:formatCode>
                <c:ptCount val="3"/>
                <c:pt idx="0">
                  <c:v>51</c:v>
                </c:pt>
                <c:pt idx="1">
                  <c:v>828</c:v>
                </c:pt>
                <c:pt idx="2">
                  <c:v>354</c:v>
                </c:pt>
              </c:numCache>
            </c:numRef>
          </c:val>
          <c:extLst>
            <c:ext xmlns:c16="http://schemas.microsoft.com/office/drawing/2014/chart" uri="{C3380CC4-5D6E-409C-BE32-E72D297353CC}">
              <c16:uniqueId val="{00000000-AB38-4E85-891A-68C098FAC52F}"/>
            </c:ext>
          </c:extLst>
        </c:ser>
        <c:ser>
          <c:idx val="1"/>
          <c:order val="1"/>
          <c:tx>
            <c:strRef>
              <c:f>Calculations!$C$1:$C$2</c:f>
              <c:strCache>
                <c:ptCount val="1"/>
                <c:pt idx="0">
                  <c:v>Yes</c:v>
                </c:pt>
              </c:strCache>
            </c:strRef>
          </c:tx>
          <c:spPr>
            <a:solidFill>
              <a:schemeClr val="accent2"/>
            </a:solidFill>
            <a:ln>
              <a:noFill/>
            </a:ln>
            <a:effectLst/>
          </c:spPr>
          <c:invertIfNegative val="0"/>
          <c:cat>
            <c:strRef>
              <c:f>Calculations!$A$3:$A$6</c:f>
              <c:strCache>
                <c:ptCount val="3"/>
                <c:pt idx="0">
                  <c:v>Human Resources</c:v>
                </c:pt>
                <c:pt idx="1">
                  <c:v>Research &amp; Development</c:v>
                </c:pt>
                <c:pt idx="2">
                  <c:v>Sales</c:v>
                </c:pt>
              </c:strCache>
            </c:strRef>
          </c:cat>
          <c:val>
            <c:numRef>
              <c:f>Calculations!$C$3:$C$6</c:f>
              <c:numCache>
                <c:formatCode>General</c:formatCode>
                <c:ptCount val="3"/>
                <c:pt idx="0">
                  <c:v>12</c:v>
                </c:pt>
                <c:pt idx="1">
                  <c:v>133</c:v>
                </c:pt>
                <c:pt idx="2">
                  <c:v>92</c:v>
                </c:pt>
              </c:numCache>
            </c:numRef>
          </c:val>
          <c:extLst>
            <c:ext xmlns:c16="http://schemas.microsoft.com/office/drawing/2014/chart" uri="{C3380CC4-5D6E-409C-BE32-E72D297353CC}">
              <c16:uniqueId val="{00000001-AB38-4E85-891A-68C098FAC52F}"/>
            </c:ext>
          </c:extLst>
        </c:ser>
        <c:dLbls>
          <c:showLegendKey val="0"/>
          <c:showVal val="0"/>
          <c:showCatName val="0"/>
          <c:showSerName val="0"/>
          <c:showPercent val="0"/>
          <c:showBubbleSize val="0"/>
        </c:dLbls>
        <c:gapWidth val="219"/>
        <c:overlap val="-27"/>
        <c:axId val="923240991"/>
        <c:axId val="912426687"/>
      </c:barChart>
      <c:catAx>
        <c:axId val="9232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12426687"/>
        <c:crosses val="autoZero"/>
        <c:auto val="1"/>
        <c:lblAlgn val="ctr"/>
        <c:lblOffset val="100"/>
        <c:noMultiLvlLbl val="0"/>
      </c:catAx>
      <c:valAx>
        <c:axId val="91242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232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Attrition</a:t>
            </a:r>
            <a:r>
              <a:rPr lang="en-US" baseline="0"/>
              <a:t> Rate by Job Role (%)</a:t>
            </a:r>
          </a:p>
        </c:rich>
      </c:tx>
      <c:layout>
        <c:manualLayout>
          <c:xMode val="edge"/>
          <c:yMode val="edge"/>
          <c:x val="0.26076175628786447"/>
          <c:y val="2.7136752136752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Lit>
          </c:cat>
          <c:val>
            <c:numLit>
              <c:formatCode>General</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Lit>
          </c:val>
          <c:extLst>
            <c:ext xmlns:c16="http://schemas.microsoft.com/office/drawing/2014/chart" uri="{C3380CC4-5D6E-409C-BE32-E72D297353CC}">
              <c16:uniqueId val="{00000000-C84C-439B-B2B8-A50271FE2FD1}"/>
            </c:ext>
          </c:extLst>
        </c:ser>
        <c:dLbls>
          <c:dLblPos val="outEnd"/>
          <c:showLegendKey val="0"/>
          <c:showVal val="1"/>
          <c:showCatName val="0"/>
          <c:showSerName val="0"/>
          <c:showPercent val="0"/>
          <c:showBubbleSize val="0"/>
        </c:dLbls>
        <c:gapWidth val="219"/>
        <c:axId val="1195558335"/>
        <c:axId val="1195556895"/>
      </c:barChart>
      <c:catAx>
        <c:axId val="119555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6895"/>
        <c:crosses val="autoZero"/>
        <c:auto val="1"/>
        <c:lblAlgn val="ctr"/>
        <c:lblOffset val="100"/>
        <c:noMultiLvlLbl val="0"/>
      </c:catAx>
      <c:valAx>
        <c:axId val="1195556895"/>
        <c:scaling>
          <c:orientation val="minMax"/>
          <c:max val="0.45"/>
          <c:min val="0"/>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5558335"/>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 by Overtime Status (%)</a:t>
            </a:r>
          </a:p>
          <a:p>
            <a:pPr>
              <a:defRPr/>
            </a:pPr>
            <a:endParaRPr lang="pl-PL"/>
          </a:p>
        </c:rich>
      </c:tx>
      <c:layout>
        <c:manualLayout>
          <c:xMode val="edge"/>
          <c:yMode val="edge"/>
          <c:x val="0.18807624612180995"/>
          <c:y val="2.7991452991452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0.15700267158905201"/>
          <c:y val="0.16815740740740739"/>
          <c:w val="0.79525788175977818"/>
          <c:h val="0.6503960113960114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Attrition_by_overtime!$G$5:$G$6</c:f>
              <c:strCache>
                <c:ptCount val="2"/>
                <c:pt idx="0">
                  <c:v>Overtime</c:v>
                </c:pt>
                <c:pt idx="1">
                  <c:v>No Overtime</c:v>
                </c:pt>
              </c:strCache>
            </c:strRef>
          </c:cat>
          <c:val>
            <c:numRef>
              <c:f>Attrition_by_overtime!$H$5:$H$6</c:f>
              <c:numCache>
                <c:formatCode>0.00%</c:formatCode>
                <c:ptCount val="2"/>
                <c:pt idx="0">
                  <c:v>0.30528846153846156</c:v>
                </c:pt>
                <c:pt idx="1">
                  <c:v>0.10436432637571158</c:v>
                </c:pt>
              </c:numCache>
            </c:numRef>
          </c:val>
          <c:extLst>
            <c:ext xmlns:c16="http://schemas.microsoft.com/office/drawing/2014/chart" uri="{C3380CC4-5D6E-409C-BE32-E72D297353CC}">
              <c16:uniqueId val="{00000000-FB89-4CC7-A3E6-CDEB9F580452}"/>
            </c:ext>
          </c:extLst>
        </c:ser>
        <c:dLbls>
          <c:dLblPos val="outEnd"/>
          <c:showLegendKey val="0"/>
          <c:showVal val="1"/>
          <c:showCatName val="0"/>
          <c:showSerName val="0"/>
          <c:showPercent val="0"/>
          <c:showBubbleSize val="0"/>
        </c:dLbls>
        <c:gapWidth val="182"/>
        <c:axId val="1923336368"/>
        <c:axId val="1923336848"/>
      </c:barChart>
      <c:catAx>
        <c:axId val="19233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848"/>
        <c:crosses val="autoZero"/>
        <c:auto val="1"/>
        <c:lblAlgn val="ctr"/>
        <c:lblOffset val="100"/>
        <c:noMultiLvlLbl val="0"/>
      </c:catAx>
      <c:valAx>
        <c:axId val="19233368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923336368"/>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Travel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Attrition_by_Travel!$A$3:$A$5</c:f>
              <c:strCache>
                <c:ptCount val="3"/>
                <c:pt idx="0">
                  <c:v>Travel_Frequently</c:v>
                </c:pt>
                <c:pt idx="1">
                  <c:v>Travel_Rarely</c:v>
                </c:pt>
                <c:pt idx="2">
                  <c:v>Non-Travel</c:v>
                </c:pt>
              </c:strCache>
            </c:strRef>
          </c:cat>
          <c:val>
            <c:numRef>
              <c:f>Attrition_by_Travel!$B$3:$B$5</c:f>
              <c:numCache>
                <c:formatCode>0.00%</c:formatCode>
                <c:ptCount val="3"/>
                <c:pt idx="0">
                  <c:v>0.33173076923076922</c:v>
                </c:pt>
                <c:pt idx="1">
                  <c:v>0.14956855225311602</c:v>
                </c:pt>
                <c:pt idx="2">
                  <c:v>0.08</c:v>
                </c:pt>
              </c:numCache>
            </c:numRef>
          </c:val>
          <c:extLst>
            <c:ext xmlns:c16="http://schemas.microsoft.com/office/drawing/2014/chart" uri="{C3380CC4-5D6E-409C-BE32-E72D297353CC}">
              <c16:uniqueId val="{00000000-5D28-4675-939D-116F0DF2809D}"/>
            </c:ext>
          </c:extLst>
        </c:ser>
        <c:dLbls>
          <c:dLblPos val="outEnd"/>
          <c:showLegendKey val="0"/>
          <c:showVal val="1"/>
          <c:showCatName val="0"/>
          <c:showSerName val="0"/>
          <c:showPercent val="0"/>
          <c:showBubbleSize val="0"/>
        </c:dLbls>
        <c:gapWidth val="182"/>
        <c:axId val="1851398624"/>
        <c:axId val="1851395264"/>
      </c:barChart>
      <c:catAx>
        <c:axId val="185139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5264"/>
        <c:crosses val="autoZero"/>
        <c:auto val="1"/>
        <c:lblAlgn val="ctr"/>
        <c:lblOffset val="100"/>
        <c:noMultiLvlLbl val="0"/>
      </c:catAx>
      <c:valAx>
        <c:axId val="1851395264"/>
        <c:scaling>
          <c:orientation val="minMax"/>
          <c:max val="0.35000000000000003"/>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39862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 (%)</a:t>
            </a:r>
          </a:p>
        </c:rich>
      </c:tx>
      <c:layout>
        <c:manualLayout>
          <c:xMode val="edge"/>
          <c:yMode val="edge"/>
          <c:x val="0.24770977777777778"/>
          <c:y val="5.11396011396011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0.1013016607329803"/>
          <c:y val="0.1722731481481482"/>
          <c:w val="0.8267410618088622"/>
          <c:h val="0.7276905270655270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Attrition_by_Marital_Status!$A$1:$A$3</c:f>
              <c:strCache>
                <c:ptCount val="3"/>
                <c:pt idx="0">
                  <c:v>Divorced</c:v>
                </c:pt>
                <c:pt idx="1">
                  <c:v>Married</c:v>
                </c:pt>
                <c:pt idx="2">
                  <c:v>Single</c:v>
                </c:pt>
              </c:strCache>
            </c:strRef>
          </c:cat>
          <c:val>
            <c:numRef>
              <c:f>Attrition_by_Marital_Status!$B$1:$B$3</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0-18E1-473C-8AC3-99FE37599A62}"/>
            </c:ext>
          </c:extLst>
        </c:ser>
        <c:dLbls>
          <c:dLblPos val="outEnd"/>
          <c:showLegendKey val="0"/>
          <c:showVal val="1"/>
          <c:showCatName val="0"/>
          <c:showSerName val="0"/>
          <c:showPercent val="0"/>
          <c:showBubbleSize val="0"/>
        </c:dLbls>
        <c:gapWidth val="182"/>
        <c:axId val="1851408704"/>
        <c:axId val="1851405824"/>
      </c:barChart>
      <c:catAx>
        <c:axId val="185140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5824"/>
        <c:crosses val="autoZero"/>
        <c:auto val="1"/>
        <c:lblAlgn val="ctr"/>
        <c:lblOffset val="100"/>
        <c:noMultiLvlLbl val="0"/>
      </c:catAx>
      <c:valAx>
        <c:axId val="18514058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851408704"/>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Attrition </a:t>
            </a:r>
            <a:r>
              <a:rPr lang="en-GB"/>
              <a:t>by</a:t>
            </a:r>
            <a:r>
              <a:rPr lang="en-GB" baseline="0"/>
              <a:t> Age Group (%)</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manualLayout>
          <c:layoutTarget val="inner"/>
          <c:xMode val="edge"/>
          <c:yMode val="edge"/>
          <c:x val="9.9456036745406817E-2"/>
          <c:y val="0.17634259259259263"/>
          <c:w val="0.84140507436570433"/>
          <c:h val="0.72125801983085447"/>
        </c:manualLayout>
      </c:layout>
      <c:barChart>
        <c:barDir val="bar"/>
        <c:grouping val="clustered"/>
        <c:varyColors val="0"/>
        <c:ser>
          <c:idx val="0"/>
          <c:order val="0"/>
          <c:tx>
            <c:strRef>
              <c:f>'Attrition_by _Age_Group'!$G$3</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 _Age_Group'!$F$4:$F$6</c:f>
              <c:strCache>
                <c:ptCount val="3"/>
                <c:pt idx="0">
                  <c:v>18-30</c:v>
                </c:pt>
                <c:pt idx="1">
                  <c:v>31-50</c:v>
                </c:pt>
                <c:pt idx="2">
                  <c:v>51+</c:v>
                </c:pt>
              </c:strCache>
            </c:strRef>
          </c:cat>
          <c:val>
            <c:numRef>
              <c:f>'Attrition_by _Age_Group'!$G$4:$G$6</c:f>
              <c:numCache>
                <c:formatCode>0.00</c:formatCode>
                <c:ptCount val="3"/>
                <c:pt idx="0">
                  <c:v>25.906735751295333</c:v>
                </c:pt>
                <c:pt idx="1">
                  <c:v>12.646121147715197</c:v>
                </c:pt>
                <c:pt idx="2">
                  <c:v>12.587412587412588</c:v>
                </c:pt>
              </c:numCache>
            </c:numRef>
          </c:val>
          <c:extLst>
            <c:ext xmlns:c16="http://schemas.microsoft.com/office/drawing/2014/chart" uri="{C3380CC4-5D6E-409C-BE32-E72D297353CC}">
              <c16:uniqueId val="{00000000-C044-4AB4-AE90-293B7569455B}"/>
            </c:ext>
          </c:extLst>
        </c:ser>
        <c:dLbls>
          <c:dLblPos val="outEnd"/>
          <c:showLegendKey val="0"/>
          <c:showVal val="1"/>
          <c:showCatName val="0"/>
          <c:showSerName val="0"/>
          <c:showPercent val="0"/>
          <c:showBubbleSize val="0"/>
        </c:dLbls>
        <c:gapWidth val="182"/>
        <c:axId val="1273192383"/>
        <c:axId val="1273193823"/>
      </c:barChart>
      <c:catAx>
        <c:axId val="12731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3823"/>
        <c:crossesAt val="0"/>
        <c:auto val="1"/>
        <c:lblAlgn val="ctr"/>
        <c:lblOffset val="100"/>
        <c:noMultiLvlLbl val="0"/>
      </c:catAx>
      <c:valAx>
        <c:axId val="127319382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273192383"/>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Work 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bar"/>
        <c:grouping val="clustered"/>
        <c:varyColors val="0"/>
        <c:ser>
          <c:idx val="0"/>
          <c:order val="0"/>
          <c:tx>
            <c:strRef>
              <c:f>Attrition_by_Work_Life_Balance!$H$4</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Attrition_by_Work_Life_Balance!$G$5:$G$8</c:f>
              <c:strCache>
                <c:ptCount val="4"/>
                <c:pt idx="0">
                  <c:v>Poor</c:v>
                </c:pt>
                <c:pt idx="1">
                  <c:v>Fair</c:v>
                </c:pt>
                <c:pt idx="2">
                  <c:v>Good</c:v>
                </c:pt>
                <c:pt idx="3">
                  <c:v>Excellent</c:v>
                </c:pt>
              </c:strCache>
            </c:strRef>
          </c:cat>
          <c:val>
            <c:numRef>
              <c:f>Attrition_by_Work_Life_Balance!$H$5:$H$8</c:f>
              <c:numCache>
                <c:formatCode>0.00%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7999-4A08-A619-0E19A4D130E3}"/>
            </c:ext>
          </c:extLst>
        </c:ser>
        <c:dLbls>
          <c:dLblPos val="outEnd"/>
          <c:showLegendKey val="0"/>
          <c:showVal val="1"/>
          <c:showCatName val="0"/>
          <c:showSerName val="0"/>
          <c:showPercent val="0"/>
          <c:showBubbleSize val="0"/>
        </c:dLbls>
        <c:gapWidth val="182"/>
        <c:axId val="1667376896"/>
        <c:axId val="1493157184"/>
      </c:barChart>
      <c:catAx>
        <c:axId val="166737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93157184"/>
        <c:crosses val="autoZero"/>
        <c:auto val="1"/>
        <c:lblAlgn val="ctr"/>
        <c:lblOffset val="100"/>
        <c:noMultiLvlLbl val="0"/>
      </c:catAx>
      <c:valAx>
        <c:axId val="1493157184"/>
        <c:scaling>
          <c:orientation val="minMax"/>
          <c:max val="0.35000000000000003"/>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7376896"/>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350520</xdr:colOff>
      <xdr:row>2</xdr:row>
      <xdr:rowOff>22860</xdr:rowOff>
    </xdr:from>
    <xdr:to>
      <xdr:col>6</xdr:col>
      <xdr:colOff>30480</xdr:colOff>
      <xdr:row>17</xdr:row>
      <xdr:rowOff>22860</xdr:rowOff>
    </xdr:to>
    <xdr:graphicFrame macro="">
      <xdr:nvGraphicFramePr>
        <xdr:cNvPr id="2" name="Chart 1">
          <a:extLst>
            <a:ext uri="{FF2B5EF4-FFF2-40B4-BE49-F238E27FC236}">
              <a16:creationId xmlns:a16="http://schemas.microsoft.com/office/drawing/2014/main" id="{8C6C6013-9B10-E093-1941-25DE8D16E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266700</xdr:colOff>
      <xdr:row>2</xdr:row>
      <xdr:rowOff>7620</xdr:rowOff>
    </xdr:from>
    <xdr:ext cx="2750820" cy="1297919"/>
    <xdr:sp macro="" textlink="">
      <xdr:nvSpPr>
        <xdr:cNvPr id="3" name="TextBox 2">
          <a:extLst>
            <a:ext uri="{FF2B5EF4-FFF2-40B4-BE49-F238E27FC236}">
              <a16:creationId xmlns:a16="http://schemas.microsoft.com/office/drawing/2014/main" id="{D7F7DC8E-1E67-9F4C-BD1D-4C379E2E9B54}"/>
            </a:ext>
          </a:extLst>
        </xdr:cNvPr>
        <xdr:cNvSpPr txBox="1"/>
      </xdr:nvSpPr>
      <xdr:spPr>
        <a:xfrm>
          <a:off x="5158740" y="373380"/>
          <a:ext cx="275082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Employees in the Sales department have the highest attrition rate (</a:t>
          </a:r>
          <a:r>
            <a:rPr lang="pl-PL" b="1"/>
            <a:t>20.63%</a:t>
          </a:r>
          <a:r>
            <a:rPr lang="pl-PL"/>
            <a:t>), followed by Human Resources (</a:t>
          </a:r>
          <a:r>
            <a:rPr lang="pl-PL" b="1"/>
            <a:t>19.05%</a:t>
          </a:r>
          <a:r>
            <a:rPr lang="pl-PL"/>
            <a:t>). Research &amp; Development has the lowest attrition rate (</a:t>
          </a:r>
          <a:r>
            <a:rPr lang="pl-PL" b="1"/>
            <a:t>13.84%</a:t>
          </a:r>
          <a:r>
            <a:rPr lang="pl-PL"/>
            <a:t>). This suggests employee turnover is a greater challenge in Sales than in other departments.</a:t>
          </a:r>
          <a:endParaRPr lang="pl-PL"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99060</xdr:rowOff>
    </xdr:from>
    <xdr:to>
      <xdr:col>4</xdr:col>
      <xdr:colOff>503160</xdr:colOff>
      <xdr:row>15</xdr:row>
      <xdr:rowOff>53340</xdr:rowOff>
    </xdr:to>
    <xdr:graphicFrame macro="">
      <xdr:nvGraphicFramePr>
        <xdr:cNvPr id="4" name="Chart 1">
          <a:extLst>
            <a:ext uri="{FF2B5EF4-FFF2-40B4-BE49-F238E27FC236}">
              <a16:creationId xmlns:a16="http://schemas.microsoft.com/office/drawing/2014/main" id="{F2E4D253-BB4F-3F06-0FB9-9FC30701F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190500</xdr:colOff>
      <xdr:row>16</xdr:row>
      <xdr:rowOff>53340</xdr:rowOff>
    </xdr:from>
    <xdr:ext cx="3192780" cy="1125693"/>
    <xdr:sp macro="" textlink="">
      <xdr:nvSpPr>
        <xdr:cNvPr id="2" name="TextBox 1">
          <a:extLst>
            <a:ext uri="{FF2B5EF4-FFF2-40B4-BE49-F238E27FC236}">
              <a16:creationId xmlns:a16="http://schemas.microsoft.com/office/drawing/2014/main" id="{EEFEACDC-1404-6A23-E445-EEA5E5B0AAA7}"/>
            </a:ext>
          </a:extLst>
        </xdr:cNvPr>
        <xdr:cNvSpPr txBox="1"/>
      </xdr:nvSpPr>
      <xdr:spPr>
        <a:xfrm>
          <a:off x="190500" y="3025140"/>
          <a:ext cx="319278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Sales Representatives have the highest attrition rate (</a:t>
          </a:r>
          <a:r>
            <a:rPr lang="pl-PL" b="1"/>
            <a:t>39.76%</a:t>
          </a:r>
          <a:r>
            <a:rPr lang="pl-PL"/>
            <a:t>), followed by Laboratory Technicians (</a:t>
          </a:r>
          <a:r>
            <a:rPr lang="pl-PL" b="1"/>
            <a:t>23.94%</a:t>
          </a:r>
          <a:r>
            <a:rPr lang="pl-PL"/>
            <a:t>) and Human Resources (</a:t>
          </a:r>
          <a:r>
            <a:rPr lang="pl-PL" b="1"/>
            <a:t>23.08%</a:t>
          </a:r>
          <a:r>
            <a:rPr lang="pl-PL"/>
            <a:t>). Research Directors show the lowest attrition rate (</a:t>
          </a:r>
          <a:r>
            <a:rPr lang="pl-PL" b="1"/>
            <a:t>2.50%</a:t>
          </a:r>
          <a:r>
            <a:rPr lang="pl-PL"/>
            <a:t>). This indicates that turnover varies significantly across job roles.</a:t>
          </a:r>
          <a:endParaRPr lang="pl-PL"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167640</xdr:rowOff>
    </xdr:from>
    <xdr:to>
      <xdr:col>6</xdr:col>
      <xdr:colOff>220980</xdr:colOff>
      <xdr:row>15</xdr:row>
      <xdr:rowOff>5715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3E8E1713-DC0D-0E12-8620-FDAD57AA2CB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58540" y="16764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365760</xdr:colOff>
      <xdr:row>18</xdr:row>
      <xdr:rowOff>129540</xdr:rowOff>
    </xdr:from>
    <xdr:to>
      <xdr:col>5</xdr:col>
      <xdr:colOff>1584960</xdr:colOff>
      <xdr:row>32</xdr:row>
      <xdr:rowOff>150495</xdr:rowOff>
    </xdr:to>
    <mc:AlternateContent xmlns:mc="http://schemas.openxmlformats.org/markup-compatibility/2006" xmlns:a14="http://schemas.microsoft.com/office/drawing/2010/main">
      <mc:Choice Requires="a14">
        <xdr:graphicFrame macro="">
          <xdr:nvGraphicFramePr>
            <xdr:cNvPr id="3" name="OverTime">
              <a:extLst>
                <a:ext uri="{FF2B5EF4-FFF2-40B4-BE49-F238E27FC236}">
                  <a16:creationId xmlns:a16="http://schemas.microsoft.com/office/drawing/2014/main" id="{87D8A56B-F5A3-2242-5DDD-D635B03E075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3314700" y="34213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388620</xdr:colOff>
      <xdr:row>31</xdr:row>
      <xdr:rowOff>15240</xdr:rowOff>
    </xdr:from>
    <xdr:to>
      <xdr:col>6</xdr:col>
      <xdr:colOff>0</xdr:colOff>
      <xdr:row>45</xdr:row>
      <xdr:rowOff>36195</xdr:rowOff>
    </xdr:to>
    <mc:AlternateContent xmlns:mc="http://schemas.openxmlformats.org/markup-compatibility/2006" xmlns:a14="http://schemas.microsoft.com/office/drawing/2010/main">
      <mc:Choice Requires="a14">
        <xdr:graphicFrame macro="">
          <xdr:nvGraphicFramePr>
            <xdr:cNvPr id="4" name="BusinessTravel">
              <a:extLst>
                <a:ext uri="{FF2B5EF4-FFF2-40B4-BE49-F238E27FC236}">
                  <a16:creationId xmlns:a16="http://schemas.microsoft.com/office/drawing/2014/main" id="{3E872291-1319-CA55-41B8-A86BC7776EE2}"/>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3337560" y="568452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1</xdr:row>
      <xdr:rowOff>38100</xdr:rowOff>
    </xdr:from>
    <xdr:to>
      <xdr:col>17</xdr:col>
      <xdr:colOff>243840</xdr:colOff>
      <xdr:row>15</xdr:row>
      <xdr:rowOff>59055</xdr:rowOff>
    </xdr:to>
    <mc:AlternateContent xmlns:mc="http://schemas.openxmlformats.org/markup-compatibility/2006" xmlns:a14="http://schemas.microsoft.com/office/drawing/2010/main">
      <mc:Choice Requires="a14">
        <xdr:graphicFrame macro="">
          <xdr:nvGraphicFramePr>
            <xdr:cNvPr id="5" name="MaritalStatus">
              <a:extLst>
                <a:ext uri="{FF2B5EF4-FFF2-40B4-BE49-F238E27FC236}">
                  <a16:creationId xmlns:a16="http://schemas.microsoft.com/office/drawing/2014/main" id="{814C96D1-937E-3FE6-42CE-74286013253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0309860" y="2209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144780</xdr:colOff>
      <xdr:row>20</xdr:row>
      <xdr:rowOff>68580</xdr:rowOff>
    </xdr:from>
    <xdr:to>
      <xdr:col>17</xdr:col>
      <xdr:colOff>144780</xdr:colOff>
      <xdr:row>34</xdr:row>
      <xdr:rowOff>89535</xdr:rowOff>
    </xdr:to>
    <mc:AlternateContent xmlns:mc="http://schemas.openxmlformats.org/markup-compatibility/2006" xmlns:a14="http://schemas.microsoft.com/office/drawing/2010/main">
      <mc:Choice Requires="a14">
        <xdr:graphicFrame macro="">
          <xdr:nvGraphicFramePr>
            <xdr:cNvPr id="6" name="JobRole">
              <a:extLst>
                <a:ext uri="{FF2B5EF4-FFF2-40B4-BE49-F238E27FC236}">
                  <a16:creationId xmlns:a16="http://schemas.microsoft.com/office/drawing/2014/main" id="{CA386839-9690-F8E4-39D9-71E9838ECFA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0210800" y="37261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45</xdr:row>
      <xdr:rowOff>144780</xdr:rowOff>
    </xdr:from>
    <xdr:to>
      <xdr:col>5</xdr:col>
      <xdr:colOff>1386840</xdr:colOff>
      <xdr:row>59</xdr:row>
      <xdr:rowOff>165735</xdr:rowOff>
    </xdr:to>
    <mc:AlternateContent xmlns:mc="http://schemas.openxmlformats.org/markup-compatibility/2006" xmlns:a14="http://schemas.microsoft.com/office/drawing/2010/main">
      <mc:Choice Requires="a14">
        <xdr:graphicFrame macro="">
          <xdr:nvGraphicFramePr>
            <xdr:cNvPr id="7" name="AgeGroup">
              <a:extLst>
                <a:ext uri="{FF2B5EF4-FFF2-40B4-BE49-F238E27FC236}">
                  <a16:creationId xmlns:a16="http://schemas.microsoft.com/office/drawing/2014/main" id="{6932D800-3AD7-C4DC-E480-5081134C9E0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116580" y="83743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38</xdr:row>
      <xdr:rowOff>167640</xdr:rowOff>
    </xdr:from>
    <xdr:to>
      <xdr:col>17</xdr:col>
      <xdr:colOff>579120</xdr:colOff>
      <xdr:row>53</xdr:row>
      <xdr:rowOff>5715</xdr:rowOff>
    </xdr:to>
    <mc:AlternateContent xmlns:mc="http://schemas.openxmlformats.org/markup-compatibility/2006" xmlns:a14="http://schemas.microsoft.com/office/drawing/2010/main">
      <mc:Choice Requires="a14">
        <xdr:graphicFrame macro="">
          <xdr:nvGraphicFramePr>
            <xdr:cNvPr id="9" name="WokrLifeBalanceGroup">
              <a:extLst>
                <a:ext uri="{FF2B5EF4-FFF2-40B4-BE49-F238E27FC236}">
                  <a16:creationId xmlns:a16="http://schemas.microsoft.com/office/drawing/2014/main" id="{7BF88ABD-65FA-5974-6880-288EEE92B0E4}"/>
                </a:ext>
              </a:extLst>
            </xdr:cNvPr>
            <xdr:cNvGraphicFramePr/>
          </xdr:nvGraphicFramePr>
          <xdr:xfrm>
            <a:off x="0" y="0"/>
            <a:ext cx="0" cy="0"/>
          </xdr:xfrm>
          <a:graphic>
            <a:graphicData uri="http://schemas.microsoft.com/office/drawing/2010/slicer">
              <sle:slicer xmlns:sle="http://schemas.microsoft.com/office/drawing/2010/slicer" name="WokrLifeBalanceGroup"/>
            </a:graphicData>
          </a:graphic>
        </xdr:graphicFrame>
      </mc:Choice>
      <mc:Fallback xmlns="">
        <xdr:sp macro="" textlink="">
          <xdr:nvSpPr>
            <xdr:cNvPr id="0" name=""/>
            <xdr:cNvSpPr>
              <a:spLocks noTextEdit="1"/>
            </xdr:cNvSpPr>
          </xdr:nvSpPr>
          <xdr:spPr>
            <a:xfrm>
              <a:off x="10645140" y="7117080"/>
              <a:ext cx="1828800" cy="2581275"/>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1</xdr:row>
      <xdr:rowOff>76200</xdr:rowOff>
    </xdr:from>
    <xdr:to>
      <xdr:col>5</xdr:col>
      <xdr:colOff>365760</xdr:colOff>
      <xdr:row>16</xdr:row>
      <xdr:rowOff>76200</xdr:rowOff>
    </xdr:to>
    <xdr:graphicFrame macro="">
      <xdr:nvGraphicFramePr>
        <xdr:cNvPr id="2" name="Chart 1">
          <a:extLst>
            <a:ext uri="{FF2B5EF4-FFF2-40B4-BE49-F238E27FC236}">
              <a16:creationId xmlns:a16="http://schemas.microsoft.com/office/drawing/2014/main" id="{EE23241F-34F6-A215-4BC8-B94DB3117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304800</xdr:colOff>
      <xdr:row>8</xdr:row>
      <xdr:rowOff>129540</xdr:rowOff>
    </xdr:from>
    <xdr:ext cx="184731" cy="264560"/>
    <xdr:sp macro="" textlink="">
      <xdr:nvSpPr>
        <xdr:cNvPr id="3" name="TextBox 2">
          <a:extLst>
            <a:ext uri="{FF2B5EF4-FFF2-40B4-BE49-F238E27FC236}">
              <a16:creationId xmlns:a16="http://schemas.microsoft.com/office/drawing/2014/main" id="{F300F2BB-705E-CB33-E5CA-9EF8157DF005}"/>
            </a:ext>
          </a:extLst>
        </xdr:cNvPr>
        <xdr:cNvSpPr txBox="1"/>
      </xdr:nvSpPr>
      <xdr:spPr>
        <a:xfrm>
          <a:off x="5196840" y="1592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l-PL" sz="1100"/>
        </a:p>
      </xdr:txBody>
    </xdr:sp>
    <xdr:clientData/>
  </xdr:oneCellAnchor>
  <xdr:twoCellAnchor>
    <xdr:from>
      <xdr:col>6</xdr:col>
      <xdr:colOff>0</xdr:colOff>
      <xdr:row>8</xdr:row>
      <xdr:rowOff>0</xdr:rowOff>
    </xdr:from>
    <xdr:to>
      <xdr:col>9</xdr:col>
      <xdr:colOff>99060</xdr:colOff>
      <xdr:row>15</xdr:row>
      <xdr:rowOff>45720</xdr:rowOff>
    </xdr:to>
    <xdr:sp macro="" textlink="">
      <xdr:nvSpPr>
        <xdr:cNvPr id="4097" name="Text Box 1">
          <a:extLst>
            <a:ext uri="{FF2B5EF4-FFF2-40B4-BE49-F238E27FC236}">
              <a16:creationId xmlns:a16="http://schemas.microsoft.com/office/drawing/2014/main" id="{C1311E7A-B255-E3D2-E9A5-ADBE263FA67B}"/>
            </a:ext>
          </a:extLst>
        </xdr:cNvPr>
        <xdr:cNvSpPr txBox="1">
          <a:spLocks noChangeArrowheads="1"/>
        </xdr:cNvSpPr>
      </xdr:nvSpPr>
      <xdr:spPr bwMode="auto">
        <a:xfrm>
          <a:off x="4892040" y="1463040"/>
          <a:ext cx="2293620" cy="13258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pl-PL" sz="1100" b="0" i="0" u="none" strike="noStrike" baseline="0">
              <a:solidFill>
                <a:srgbClr val="000000"/>
              </a:solidFill>
              <a:latin typeface="Aptos Narrow"/>
            </a:rPr>
            <a:t>Employees working overtime have an attrition rate of </a:t>
          </a:r>
          <a:r>
            <a:rPr lang="pl-PL" sz="1100" b="1" i="0" u="none" strike="noStrike" baseline="0">
              <a:solidFill>
                <a:srgbClr val="000000"/>
              </a:solidFill>
              <a:latin typeface="Aptos Narrow"/>
            </a:rPr>
            <a:t>30.53%, </a:t>
          </a:r>
          <a:r>
            <a:rPr lang="pl-PL" sz="1100" b="0" i="0" u="none" strike="noStrike" baseline="0">
              <a:solidFill>
                <a:srgbClr val="000000"/>
              </a:solidFill>
              <a:latin typeface="Aptos Narrow"/>
            </a:rPr>
            <a:t>compared to only </a:t>
          </a:r>
          <a:r>
            <a:rPr lang="pl-PL" sz="1100" b="1" i="0" u="none" strike="noStrike" baseline="0">
              <a:solidFill>
                <a:srgbClr val="000000"/>
              </a:solidFill>
              <a:latin typeface="Aptos Narrow"/>
            </a:rPr>
            <a:t>10.44% </a:t>
          </a:r>
          <a:r>
            <a:rPr lang="pl-PL" sz="1100" b="0" i="0" u="none" strike="noStrike" baseline="0">
              <a:solidFill>
                <a:srgbClr val="000000"/>
              </a:solidFill>
              <a:latin typeface="Aptos Narrow"/>
            </a:rPr>
            <a:t>for employees who do not work overtime. Employees working overtime are nearly three times more likely to leave the company.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167640</xdr:colOff>
      <xdr:row>2</xdr:row>
      <xdr:rowOff>7620</xdr:rowOff>
    </xdr:from>
    <xdr:to>
      <xdr:col>9</xdr:col>
      <xdr:colOff>324240</xdr:colOff>
      <xdr:row>17</xdr:row>
      <xdr:rowOff>420</xdr:rowOff>
    </xdr:to>
    <xdr:graphicFrame macro="">
      <xdr:nvGraphicFramePr>
        <xdr:cNvPr id="2" name="Chart 1">
          <a:extLst>
            <a:ext uri="{FF2B5EF4-FFF2-40B4-BE49-F238E27FC236}">
              <a16:creationId xmlns:a16="http://schemas.microsoft.com/office/drawing/2014/main" id="{0175464E-7592-5B35-F9A4-397F06911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53341</xdr:colOff>
      <xdr:row>6</xdr:row>
      <xdr:rowOff>53340</xdr:rowOff>
    </xdr:from>
    <xdr:ext cx="2034539" cy="1642373"/>
    <xdr:sp macro="" textlink="">
      <xdr:nvSpPr>
        <xdr:cNvPr id="3" name="TextBox 2">
          <a:extLst>
            <a:ext uri="{FF2B5EF4-FFF2-40B4-BE49-F238E27FC236}">
              <a16:creationId xmlns:a16="http://schemas.microsoft.com/office/drawing/2014/main" id="{33E68A7B-41A8-1909-9887-4BB8D145585C}"/>
            </a:ext>
          </a:extLst>
        </xdr:cNvPr>
        <xdr:cNvSpPr txBox="1"/>
      </xdr:nvSpPr>
      <xdr:spPr>
        <a:xfrm>
          <a:off x="53341" y="1150620"/>
          <a:ext cx="2034539" cy="1642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a:t>Employees who travel frequently have the highest attrition rate </a:t>
          </a:r>
          <a:r>
            <a:rPr lang="pl-PL" b="1"/>
            <a:t>(33.17%), </a:t>
          </a:r>
          <a:r>
            <a:rPr lang="pl-PL"/>
            <a:t>compared with </a:t>
          </a:r>
          <a:r>
            <a:rPr lang="pl-PL" b="1"/>
            <a:t>14.96% </a:t>
          </a:r>
          <a:r>
            <a:rPr lang="pl-PL"/>
            <a:t>for employees who travel rarely and only </a:t>
          </a:r>
          <a:r>
            <a:rPr lang="pl-PL" b="1"/>
            <a:t>8.00% </a:t>
          </a:r>
          <a:r>
            <a:rPr lang="pl-PL"/>
            <a:t>for non-travel employees. This suggests that frequent business travel is strongly associated with employee turnover.</a:t>
          </a:r>
          <a:endParaRPr lang="pl-PL"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3</xdr:col>
      <xdr:colOff>60960</xdr:colOff>
      <xdr:row>0</xdr:row>
      <xdr:rowOff>99060</xdr:rowOff>
    </xdr:from>
    <xdr:to>
      <xdr:col>9</xdr:col>
      <xdr:colOff>590940</xdr:colOff>
      <xdr:row>15</xdr:row>
      <xdr:rowOff>91860</xdr:rowOff>
    </xdr:to>
    <xdr:graphicFrame macro="">
      <xdr:nvGraphicFramePr>
        <xdr:cNvPr id="2" name="Chart 1">
          <a:extLst>
            <a:ext uri="{FF2B5EF4-FFF2-40B4-BE49-F238E27FC236}">
              <a16:creationId xmlns:a16="http://schemas.microsoft.com/office/drawing/2014/main" id="{89D8AE75-A7AE-3CC1-F11F-1C547FFB2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182880</xdr:colOff>
      <xdr:row>4</xdr:row>
      <xdr:rowOff>160020</xdr:rowOff>
    </xdr:from>
    <xdr:ext cx="184731" cy="264560"/>
    <xdr:sp macro="" textlink="">
      <xdr:nvSpPr>
        <xdr:cNvPr id="3" name="TextBox 2">
          <a:extLst>
            <a:ext uri="{FF2B5EF4-FFF2-40B4-BE49-F238E27FC236}">
              <a16:creationId xmlns:a16="http://schemas.microsoft.com/office/drawing/2014/main" id="{ABFA92D7-E9FD-2AAD-A15F-2139C01CC335}"/>
            </a:ext>
          </a:extLst>
        </xdr:cNvPr>
        <xdr:cNvSpPr txBox="1"/>
      </xdr:nvSpPr>
      <xdr:spPr>
        <a:xfrm>
          <a:off x="182880" y="891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l-PL" sz="1100"/>
        </a:p>
      </xdr:txBody>
    </xdr:sp>
    <xdr:clientData/>
  </xdr:oneCellAnchor>
  <xdr:twoCellAnchor>
    <xdr:from>
      <xdr:col>0</xdr:col>
      <xdr:colOff>137160</xdr:colOff>
      <xdr:row>4</xdr:row>
      <xdr:rowOff>38100</xdr:rowOff>
    </xdr:from>
    <xdr:to>
      <xdr:col>3</xdr:col>
      <xdr:colOff>60960</xdr:colOff>
      <xdr:row>12</xdr:row>
      <xdr:rowOff>7620</xdr:rowOff>
    </xdr:to>
    <xdr:sp macro="" textlink="">
      <xdr:nvSpPr>
        <xdr:cNvPr id="11265" name="Text Box 1">
          <a:extLst>
            <a:ext uri="{FF2B5EF4-FFF2-40B4-BE49-F238E27FC236}">
              <a16:creationId xmlns:a16="http://schemas.microsoft.com/office/drawing/2014/main" id="{4CA85FB4-5225-2E07-D1F2-6AE32E146A2F}"/>
            </a:ext>
          </a:extLst>
        </xdr:cNvPr>
        <xdr:cNvSpPr txBox="1">
          <a:spLocks noChangeArrowheads="1"/>
        </xdr:cNvSpPr>
      </xdr:nvSpPr>
      <xdr:spPr bwMode="auto">
        <a:xfrm>
          <a:off x="137160" y="769620"/>
          <a:ext cx="2141220" cy="14325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pl-PL" sz="1100" b="0" i="0" u="none" strike="noStrike" baseline="0">
              <a:solidFill>
                <a:srgbClr val="000000"/>
              </a:solidFill>
              <a:latin typeface="Aptos Narrow"/>
            </a:rPr>
            <a:t>Single employees have the highest attrition rate </a:t>
          </a:r>
          <a:r>
            <a:rPr lang="pl-PL" sz="1100" b="1" i="0" u="none" strike="noStrike" baseline="0">
              <a:solidFill>
                <a:srgbClr val="000000"/>
              </a:solidFill>
              <a:latin typeface="Aptos Narrow"/>
            </a:rPr>
            <a:t>(25.53%), </a:t>
          </a:r>
          <a:r>
            <a:rPr lang="pl-PL" sz="1100" b="0" i="0" u="none" strike="noStrike" baseline="0">
              <a:solidFill>
                <a:srgbClr val="000000"/>
              </a:solidFill>
              <a:latin typeface="Aptos Narrow"/>
            </a:rPr>
            <a:t>followed by married employees </a:t>
          </a:r>
          <a:r>
            <a:rPr lang="pl-PL" sz="1100" b="1" i="0" u="none" strike="noStrike" baseline="0">
              <a:solidFill>
                <a:srgbClr val="000000"/>
              </a:solidFill>
              <a:latin typeface="Aptos Narrow"/>
            </a:rPr>
            <a:t>(12.48%) </a:t>
          </a:r>
          <a:r>
            <a:rPr lang="pl-PL" sz="1100" b="0" i="0" u="none" strike="noStrike" baseline="0">
              <a:solidFill>
                <a:srgbClr val="000000"/>
              </a:solidFill>
              <a:latin typeface="Aptos Narrow"/>
            </a:rPr>
            <a:t>and divorced employees </a:t>
          </a:r>
          <a:r>
            <a:rPr lang="pl-PL" sz="1100" b="1" i="0" u="none" strike="noStrike" baseline="0">
              <a:solidFill>
                <a:srgbClr val="000000"/>
              </a:solidFill>
              <a:latin typeface="Aptos Narrow"/>
            </a:rPr>
            <a:t>(10.09%)</a:t>
          </a:r>
          <a:r>
            <a:rPr lang="en-GB" sz="1100" b="1" i="0" u="none" strike="noStrike" baseline="0">
              <a:solidFill>
                <a:srgbClr val="000000"/>
              </a:solidFill>
              <a:latin typeface="Aptos Narrow"/>
            </a:rPr>
            <a:t>.</a:t>
          </a:r>
          <a:r>
            <a:rPr lang="pl-PL" sz="1100" b="1" i="0" u="none" strike="noStrike" baseline="0">
              <a:solidFill>
                <a:srgbClr val="000000"/>
              </a:solidFill>
              <a:latin typeface="Aptos Narrow"/>
            </a:rPr>
            <a:t> </a:t>
          </a:r>
          <a:r>
            <a:rPr lang="pl-PL" sz="1100" b="0" i="0" u="none" strike="noStrike" baseline="0">
              <a:solidFill>
                <a:srgbClr val="000000"/>
              </a:solidFill>
              <a:latin typeface="Aptos Narrow"/>
            </a:rPr>
            <a:t>This suggests that single employees are more likely to leave the company than employees with other marital statuses.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7620</xdr:rowOff>
    </xdr:from>
    <xdr:to>
      <xdr:col>4</xdr:col>
      <xdr:colOff>1379220</xdr:colOff>
      <xdr:row>17</xdr:row>
      <xdr:rowOff>7620</xdr:rowOff>
    </xdr:to>
    <xdr:graphicFrame macro="">
      <xdr:nvGraphicFramePr>
        <xdr:cNvPr id="3" name="Chart 2">
          <a:extLst>
            <a:ext uri="{FF2B5EF4-FFF2-40B4-BE49-F238E27FC236}">
              <a16:creationId xmlns:a16="http://schemas.microsoft.com/office/drawing/2014/main" id="{60100530-E603-05D4-ADD3-D93F1ABF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53340</xdr:rowOff>
    </xdr:from>
    <xdr:to>
      <xdr:col>5</xdr:col>
      <xdr:colOff>411480</xdr:colOff>
      <xdr:row>13</xdr:row>
      <xdr:rowOff>160020</xdr:rowOff>
    </xdr:to>
    <xdr:graphicFrame macro="">
      <xdr:nvGraphicFramePr>
        <xdr:cNvPr id="2" name="Chart 1">
          <a:extLst>
            <a:ext uri="{FF2B5EF4-FFF2-40B4-BE49-F238E27FC236}">
              <a16:creationId xmlns:a16="http://schemas.microsoft.com/office/drawing/2014/main" id="{C8BD03C9-C163-8FA2-3A5B-EA18774BD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295835</xdr:colOff>
      <xdr:row>15</xdr:row>
      <xdr:rowOff>134470</xdr:rowOff>
    </xdr:from>
    <xdr:to>
      <xdr:col>3</xdr:col>
      <xdr:colOff>1499647</xdr:colOff>
      <xdr:row>31</xdr:row>
      <xdr:rowOff>73763</xdr:rowOff>
    </xdr:to>
    <xdr:graphicFrame macro="">
      <xdr:nvGraphicFramePr>
        <xdr:cNvPr id="2" name="Chart 1">
          <a:extLst>
            <a:ext uri="{FF2B5EF4-FFF2-40B4-BE49-F238E27FC236}">
              <a16:creationId xmlns:a16="http://schemas.microsoft.com/office/drawing/2014/main" id="{3646EC43-4AA3-45C6-9483-EEBC3C938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654421</xdr:colOff>
      <xdr:row>15</xdr:row>
      <xdr:rowOff>134470</xdr:rowOff>
    </xdr:from>
    <xdr:to>
      <xdr:col>10</xdr:col>
      <xdr:colOff>352162</xdr:colOff>
      <xdr:row>31</xdr:row>
      <xdr:rowOff>73764</xdr:rowOff>
    </xdr:to>
    <xdr:graphicFrame macro="">
      <xdr:nvGraphicFramePr>
        <xdr:cNvPr id="3" name="Chart 1">
          <a:extLst>
            <a:ext uri="{FF2B5EF4-FFF2-40B4-BE49-F238E27FC236}">
              <a16:creationId xmlns:a16="http://schemas.microsoft.com/office/drawing/2014/main" id="{599896B2-130A-4CDF-A6D6-FD0762049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295835</xdr:colOff>
      <xdr:row>35</xdr:row>
      <xdr:rowOff>176606</xdr:rowOff>
    </xdr:from>
    <xdr:to>
      <xdr:col>3</xdr:col>
      <xdr:colOff>1499647</xdr:colOff>
      <xdr:row>51</xdr:row>
      <xdr:rowOff>115900</xdr:rowOff>
    </xdr:to>
    <xdr:graphicFrame macro="">
      <xdr:nvGraphicFramePr>
        <xdr:cNvPr id="4" name="Chart 3">
          <a:extLst>
            <a:ext uri="{FF2B5EF4-FFF2-40B4-BE49-F238E27FC236}">
              <a16:creationId xmlns:a16="http://schemas.microsoft.com/office/drawing/2014/main" id="{B2AED21C-5B1F-42A4-85F8-C5CFC372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654421</xdr:colOff>
      <xdr:row>35</xdr:row>
      <xdr:rowOff>176606</xdr:rowOff>
    </xdr:from>
    <xdr:to>
      <xdr:col>10</xdr:col>
      <xdr:colOff>352162</xdr:colOff>
      <xdr:row>51</xdr:row>
      <xdr:rowOff>115900</xdr:rowOff>
    </xdr:to>
    <xdr:graphicFrame macro="">
      <xdr:nvGraphicFramePr>
        <xdr:cNvPr id="5" name="Chart 4">
          <a:extLst>
            <a:ext uri="{FF2B5EF4-FFF2-40B4-BE49-F238E27FC236}">
              <a16:creationId xmlns:a16="http://schemas.microsoft.com/office/drawing/2014/main" id="{01BC7582-F9D5-4422-84AD-707A11FF0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295835</xdr:colOff>
      <xdr:row>54</xdr:row>
      <xdr:rowOff>142091</xdr:rowOff>
    </xdr:from>
    <xdr:to>
      <xdr:col>3</xdr:col>
      <xdr:colOff>1499647</xdr:colOff>
      <xdr:row>70</xdr:row>
      <xdr:rowOff>81385</xdr:rowOff>
    </xdr:to>
    <xdr:graphicFrame macro="">
      <xdr:nvGraphicFramePr>
        <xdr:cNvPr id="6" name="Chart 5">
          <a:extLst>
            <a:ext uri="{FF2B5EF4-FFF2-40B4-BE49-F238E27FC236}">
              <a16:creationId xmlns:a16="http://schemas.microsoft.com/office/drawing/2014/main" id="{B9CD6935-DA96-4835-9EB1-54301DB42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161365</xdr:colOff>
      <xdr:row>6</xdr:row>
      <xdr:rowOff>107577</xdr:rowOff>
    </xdr:from>
    <xdr:to>
      <xdr:col>1</xdr:col>
      <xdr:colOff>213247</xdr:colOff>
      <xdr:row>13</xdr:row>
      <xdr:rowOff>112518</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5D345493-D01C-4FF5-B296-E55221569A4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1365" y="1589244"/>
              <a:ext cx="1796015"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491565</xdr:colOff>
      <xdr:row>6</xdr:row>
      <xdr:rowOff>107577</xdr:rowOff>
    </xdr:from>
    <xdr:to>
      <xdr:col>3</xdr:col>
      <xdr:colOff>23495</xdr:colOff>
      <xdr:row>13</xdr:row>
      <xdr:rowOff>112518</xdr:rowOff>
    </xdr:to>
    <mc:AlternateContent xmlns:mc="http://schemas.openxmlformats.org/markup-compatibility/2006" xmlns:a14="http://schemas.microsoft.com/office/drawing/2010/main">
      <mc:Choice Requires="a14">
        <xdr:graphicFrame macro="">
          <xdr:nvGraphicFramePr>
            <xdr:cNvPr id="8" name="JobRole 1">
              <a:extLst>
                <a:ext uri="{FF2B5EF4-FFF2-40B4-BE49-F238E27FC236}">
                  <a16:creationId xmlns:a16="http://schemas.microsoft.com/office/drawing/2014/main" id="{6D7CA3B1-E9D3-4247-B39B-A1612A401F53}"/>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2235698" y="1589244"/>
              <a:ext cx="1800997"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301813</xdr:colOff>
      <xdr:row>6</xdr:row>
      <xdr:rowOff>107577</xdr:rowOff>
    </xdr:from>
    <xdr:to>
      <xdr:col>4</xdr:col>
      <xdr:colOff>228189</xdr:colOff>
      <xdr:row>13</xdr:row>
      <xdr:rowOff>112518</xdr:rowOff>
    </xdr:to>
    <mc:AlternateContent xmlns:mc="http://schemas.openxmlformats.org/markup-compatibility/2006" xmlns:a14="http://schemas.microsoft.com/office/drawing/2010/main">
      <mc:Choice Requires="a14">
        <xdr:graphicFrame macro="">
          <xdr:nvGraphicFramePr>
            <xdr:cNvPr id="9" name="OverTime 1">
              <a:extLst>
                <a:ext uri="{FF2B5EF4-FFF2-40B4-BE49-F238E27FC236}">
                  <a16:creationId xmlns:a16="http://schemas.microsoft.com/office/drawing/2014/main" id="{4E858967-5382-4D66-A08F-1A07D334D328}"/>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4315013" y="1589244"/>
              <a:ext cx="1797509"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506507</xdr:colOff>
      <xdr:row>6</xdr:row>
      <xdr:rowOff>107577</xdr:rowOff>
    </xdr:from>
    <xdr:to>
      <xdr:col>5</xdr:col>
      <xdr:colOff>280484</xdr:colOff>
      <xdr:row>13</xdr:row>
      <xdr:rowOff>112518</xdr:rowOff>
    </xdr:to>
    <mc:AlternateContent xmlns:mc="http://schemas.openxmlformats.org/markup-compatibility/2006" xmlns:a14="http://schemas.microsoft.com/office/drawing/2010/main">
      <mc:Choice Requires="a14">
        <xdr:graphicFrame macro="">
          <xdr:nvGraphicFramePr>
            <xdr:cNvPr id="10" name="BusinessTravel 1">
              <a:extLst>
                <a:ext uri="{FF2B5EF4-FFF2-40B4-BE49-F238E27FC236}">
                  <a16:creationId xmlns:a16="http://schemas.microsoft.com/office/drawing/2014/main" id="{DFAFE429-879B-4037-9BDD-2127E5BA236F}"/>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6390840" y="1589244"/>
              <a:ext cx="1797511"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558802</xdr:colOff>
      <xdr:row>6</xdr:row>
      <xdr:rowOff>107577</xdr:rowOff>
    </xdr:from>
    <xdr:to>
      <xdr:col>8</xdr:col>
      <xdr:colOff>81766</xdr:colOff>
      <xdr:row>13</xdr:row>
      <xdr:rowOff>112518</xdr:rowOff>
    </xdr:to>
    <mc:AlternateContent xmlns:mc="http://schemas.openxmlformats.org/markup-compatibility/2006" xmlns:a14="http://schemas.microsoft.com/office/drawing/2010/main">
      <mc:Choice Requires="a14">
        <xdr:graphicFrame macro="">
          <xdr:nvGraphicFramePr>
            <xdr:cNvPr id="11" name="MaritalStatus 1">
              <a:extLst>
                <a:ext uri="{FF2B5EF4-FFF2-40B4-BE49-F238E27FC236}">
                  <a16:creationId xmlns:a16="http://schemas.microsoft.com/office/drawing/2014/main" id="{8F2EE743-397B-45A0-8AE1-3C657BD8F405}"/>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8466669" y="1589244"/>
              <a:ext cx="1800497"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636494</xdr:colOff>
      <xdr:row>74</xdr:row>
      <xdr:rowOff>71718</xdr:rowOff>
    </xdr:from>
    <xdr:ext cx="6033247" cy="2519216"/>
    <xdr:sp macro="" textlink="">
      <xdr:nvSpPr>
        <xdr:cNvPr id="12" name="TextBox 11">
          <a:extLst>
            <a:ext uri="{FF2B5EF4-FFF2-40B4-BE49-F238E27FC236}">
              <a16:creationId xmlns:a16="http://schemas.microsoft.com/office/drawing/2014/main" id="{37260D7B-508D-C67F-0C5E-D7EB4FE93FB8}"/>
            </a:ext>
          </a:extLst>
        </xdr:cNvPr>
        <xdr:cNvSpPr txBox="1"/>
      </xdr:nvSpPr>
      <xdr:spPr>
        <a:xfrm>
          <a:off x="6520827" y="14219518"/>
          <a:ext cx="6033247" cy="2519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l-PL" sz="1600" b="1"/>
            <a:t>Executive Summary</a:t>
          </a:r>
          <a:r>
            <a:rPr lang="en-GB" sz="1600" b="1"/>
            <a:t>:</a:t>
          </a:r>
          <a:endParaRPr lang="pl-PL" sz="1600"/>
        </a:p>
        <a:p>
          <a:r>
            <a:rPr lang="en-GB" sz="1600" b="1"/>
            <a:t>1. </a:t>
          </a:r>
          <a:r>
            <a:rPr lang="pl-PL" sz="1600"/>
            <a:t>Overall employee attrition rate is </a:t>
          </a:r>
          <a:r>
            <a:rPr lang="pl-PL" sz="1600" b="1"/>
            <a:t>16.12%</a:t>
          </a:r>
          <a:r>
            <a:rPr lang="pl-PL" sz="1600"/>
            <a:t>. </a:t>
          </a:r>
        </a:p>
        <a:p>
          <a:r>
            <a:rPr lang="en-GB" sz="1600" b="1"/>
            <a:t>2</a:t>
          </a:r>
          <a:r>
            <a:rPr lang="en-GB" sz="1600"/>
            <a:t>. </a:t>
          </a:r>
          <a:r>
            <a:rPr lang="pl-PL" sz="1600"/>
            <a:t>Sales Representatives have the highest attrition rate (</a:t>
          </a:r>
          <a:r>
            <a:rPr lang="pl-PL" sz="1600" b="1"/>
            <a:t>39.76%</a:t>
          </a:r>
          <a:r>
            <a:rPr lang="pl-PL" sz="1600"/>
            <a:t>). </a:t>
          </a:r>
        </a:p>
        <a:p>
          <a:r>
            <a:rPr lang="en-GB" sz="1600" b="1"/>
            <a:t>3. </a:t>
          </a:r>
          <a:r>
            <a:rPr lang="pl-PL" sz="1600"/>
            <a:t>Employees working overtime are nearly </a:t>
          </a:r>
          <a:r>
            <a:rPr lang="pl-PL" sz="1600" b="1"/>
            <a:t>3x more likely</a:t>
          </a:r>
          <a:r>
            <a:rPr lang="pl-PL" sz="1600"/>
            <a:t> to leave the company. </a:t>
          </a:r>
        </a:p>
        <a:p>
          <a:r>
            <a:rPr lang="en-GB" sz="1600" b="1"/>
            <a:t>4.</a:t>
          </a:r>
          <a:r>
            <a:rPr lang="pl-PL" sz="1600"/>
            <a:t>Frequent business travel is associated with significantly higher turnover (</a:t>
          </a:r>
          <a:r>
            <a:rPr lang="pl-PL" sz="1600" b="1"/>
            <a:t>33.17%</a:t>
          </a:r>
          <a:r>
            <a:rPr lang="pl-PL" sz="1600"/>
            <a:t>). </a:t>
          </a:r>
        </a:p>
        <a:p>
          <a:r>
            <a:rPr lang="en-GB" sz="1600" b="1"/>
            <a:t>5.</a:t>
          </a:r>
          <a:r>
            <a:rPr lang="pl-PL" sz="1600"/>
            <a:t>Employees aged </a:t>
          </a:r>
          <a:r>
            <a:rPr lang="pl-PL" sz="1600" b="1"/>
            <a:t>18–30</a:t>
          </a:r>
          <a:r>
            <a:rPr lang="pl-PL" sz="1600"/>
            <a:t> show the highest attrition (</a:t>
          </a:r>
          <a:r>
            <a:rPr lang="pl-PL" sz="1600" b="1"/>
            <a:t>25.91%</a:t>
          </a:r>
          <a:r>
            <a:rPr lang="pl-PL" sz="1600"/>
            <a:t>). </a:t>
          </a:r>
        </a:p>
        <a:p>
          <a:r>
            <a:rPr lang="en-GB" sz="1600" b="1"/>
            <a:t>6.</a:t>
          </a:r>
          <a:r>
            <a:rPr lang="pl-PL" sz="1600"/>
            <a:t>Poor work-life balance is linked to the highest attrition (</a:t>
          </a:r>
          <a:r>
            <a:rPr lang="pl-PL" sz="1600" b="1"/>
            <a:t>31.25%</a:t>
          </a:r>
          <a:r>
            <a:rPr lang="pl-PL" sz="1600"/>
            <a:t>). </a:t>
          </a:r>
        </a:p>
        <a:p>
          <a:endParaRPr lang="pl-PL" sz="1100"/>
        </a:p>
      </xdr:txBody>
    </xdr:sp>
    <xdr:clientData/>
  </xdr:oneCellAnchor>
  <xdr:twoCellAnchor>
    <xdr:from>
      <xdr:col>4</xdr:col>
      <xdr:colOff>654421</xdr:colOff>
      <xdr:row>54</xdr:row>
      <xdr:rowOff>142091</xdr:rowOff>
    </xdr:from>
    <xdr:to>
      <xdr:col>10</xdr:col>
      <xdr:colOff>352162</xdr:colOff>
      <xdr:row>70</xdr:row>
      <xdr:rowOff>81385</xdr:rowOff>
    </xdr:to>
    <xdr:graphicFrame macro="">
      <xdr:nvGraphicFramePr>
        <xdr:cNvPr id="13" name="Chart 12">
          <a:extLst>
            <a:ext uri="{FF2B5EF4-FFF2-40B4-BE49-F238E27FC236}">
              <a16:creationId xmlns:a16="http://schemas.microsoft.com/office/drawing/2014/main" id="{58C3B5AC-7764-4519-9E3C-623DCB52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360084</xdr:colOff>
      <xdr:row>6</xdr:row>
      <xdr:rowOff>107577</xdr:rowOff>
    </xdr:from>
    <xdr:to>
      <xdr:col>11</xdr:col>
      <xdr:colOff>331284</xdr:colOff>
      <xdr:row>13</xdr:row>
      <xdr:rowOff>112518</xdr:rowOff>
    </xdr:to>
    <mc:AlternateContent xmlns:mc="http://schemas.openxmlformats.org/markup-compatibility/2006" xmlns:a14="http://schemas.microsoft.com/office/drawing/2010/main">
      <mc:Choice Requires="a14">
        <xdr:graphicFrame macro="">
          <xdr:nvGraphicFramePr>
            <xdr:cNvPr id="14" name="AgeGroup 1">
              <a:extLst>
                <a:ext uri="{FF2B5EF4-FFF2-40B4-BE49-F238E27FC236}">
                  <a16:creationId xmlns:a16="http://schemas.microsoft.com/office/drawing/2014/main" id="{78FFA848-C013-4FA9-B336-F9782B047E84}"/>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0545484" y="1589244"/>
              <a:ext cx="1800000"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6</xdr:row>
      <xdr:rowOff>107577</xdr:rowOff>
    </xdr:from>
    <xdr:to>
      <xdr:col>14</xdr:col>
      <xdr:colOff>580800</xdr:colOff>
      <xdr:row>13</xdr:row>
      <xdr:rowOff>112518</xdr:rowOff>
    </xdr:to>
    <mc:AlternateContent xmlns:mc="http://schemas.openxmlformats.org/markup-compatibility/2006" xmlns:a14="http://schemas.microsoft.com/office/drawing/2010/main">
      <mc:Choice Requires="a14">
        <xdr:graphicFrame macro="">
          <xdr:nvGraphicFramePr>
            <xdr:cNvPr id="23" name="WokrLifeBalanceGroup 1">
              <a:extLst>
                <a:ext uri="{FF2B5EF4-FFF2-40B4-BE49-F238E27FC236}">
                  <a16:creationId xmlns:a16="http://schemas.microsoft.com/office/drawing/2014/main" id="{9543A742-A2FF-4395-8E19-85AE8EF35A16}"/>
                </a:ext>
              </a:extLst>
            </xdr:cNvPr>
            <xdr:cNvGraphicFramePr/>
          </xdr:nvGraphicFramePr>
          <xdr:xfrm>
            <a:off x="0" y="0"/>
            <a:ext cx="0" cy="0"/>
          </xdr:xfrm>
          <a:graphic>
            <a:graphicData uri="http://schemas.microsoft.com/office/drawing/2010/slicer">
              <sle:slicer xmlns:sle="http://schemas.microsoft.com/office/drawing/2010/slicer" name="WokrLifeBalanceGroup 1"/>
            </a:graphicData>
          </a:graphic>
        </xdr:graphicFrame>
      </mc:Choice>
      <mc:Fallback xmlns="">
        <xdr:sp macro="" textlink="">
          <xdr:nvSpPr>
            <xdr:cNvPr id="0" name=""/>
            <xdr:cNvSpPr>
              <a:spLocks noTextEdit="1"/>
            </xdr:cNvSpPr>
          </xdr:nvSpPr>
          <xdr:spPr>
            <a:xfrm>
              <a:off x="12623800" y="1589244"/>
              <a:ext cx="1800000" cy="1308807"/>
            </a:xfrm>
            <a:prstGeom prst="rect">
              <a:avLst/>
            </a:prstGeom>
            <a:solidFill>
              <a:prstClr val="white"/>
            </a:solidFill>
            <a:ln w="1">
              <a:solidFill>
                <a:prstClr val="green"/>
              </a:solidFill>
            </a:ln>
          </xdr:spPr>
          <xdr:txBody>
            <a:bodyPr vertOverflow="clip" horzOverflow="clip"/>
            <a:lstStyle/>
            <a:p>
              <a:r>
                <a:rPr lang="pl-P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295835</xdr:colOff>
      <xdr:row>75</xdr:row>
      <xdr:rowOff>50800</xdr:rowOff>
    </xdr:from>
    <xdr:to>
      <xdr:col>3</xdr:col>
      <xdr:colOff>1502635</xdr:colOff>
      <xdr:row>90</xdr:row>
      <xdr:rowOff>172800</xdr:rowOff>
    </xdr:to>
    <xdr:graphicFrame macro="">
      <xdr:nvGraphicFramePr>
        <xdr:cNvPr id="24" name="Chart 23">
          <a:extLst>
            <a:ext uri="{FF2B5EF4-FFF2-40B4-BE49-F238E27FC236}">
              <a16:creationId xmlns:a16="http://schemas.microsoft.com/office/drawing/2014/main" id="{E3CFC5CD-6270-4884-A8E0-C1BE20CAA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a jasinska" refreshedDate="46190.824621990738" createdVersion="8" refreshedVersion="8" minRefreshableVersion="3" recordCount="1470" xr:uid="{1B3DC060-B6D0-4B2B-A9C8-E9316DF2BF77}">
  <cacheSource type="worksheet">
    <worksheetSource name="Table1"/>
  </cacheSource>
  <cacheFields count="37">
    <cacheField name="Column1"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3">
        <s v="31-50"/>
        <s v="18-30"/>
        <s v="51+"/>
      </sharedItems>
    </cacheField>
    <cacheField name="WokrLifeBalanceGroup" numFmtId="0">
      <sharedItems count="4">
        <s v="Poor"/>
        <s v="Good"/>
        <s v="Fair"/>
        <s v="Excellent"/>
      </sharedItems>
    </cacheField>
  </cacheFields>
  <extLst>
    <ext xmlns:x14="http://schemas.microsoft.com/office/spreadsheetml/2009/9/main" uri="{725AE2AE-9491-48be-B2B4-4EB974FC3084}">
      <x14:pivotCacheDefinition pivotCacheId="2144674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s v="Female"/>
    <n v="94"/>
    <n v="3"/>
    <n v="2"/>
    <x v="0"/>
    <n v="4"/>
    <x v="0"/>
    <n v="5993"/>
    <n v="19479"/>
    <n v="8"/>
    <s v="Y"/>
    <x v="0"/>
    <n v="11"/>
    <n v="3"/>
    <n v="1"/>
    <n v="80"/>
    <n v="0"/>
    <n v="8"/>
    <n v="0"/>
    <x v="0"/>
    <n v="6"/>
    <n v="4"/>
    <n v="0"/>
    <n v="5"/>
    <x v="0"/>
    <x v="0"/>
  </r>
  <r>
    <n v="49"/>
    <x v="1"/>
    <x v="1"/>
    <n v="279"/>
    <x v="1"/>
    <n v="8"/>
    <n v="1"/>
    <s v="Life Sciences"/>
    <n v="1"/>
    <n v="2"/>
    <n v="3"/>
    <s v="Male"/>
    <n v="61"/>
    <n v="2"/>
    <n v="2"/>
    <x v="1"/>
    <n v="2"/>
    <x v="1"/>
    <n v="5130"/>
    <n v="24907"/>
    <n v="1"/>
    <s v="Y"/>
    <x v="1"/>
    <n v="23"/>
    <n v="4"/>
    <n v="4"/>
    <n v="80"/>
    <n v="1"/>
    <n v="10"/>
    <n v="3"/>
    <x v="1"/>
    <n v="10"/>
    <n v="7"/>
    <n v="1"/>
    <n v="7"/>
    <x v="0"/>
    <x v="1"/>
  </r>
  <r>
    <n v="37"/>
    <x v="0"/>
    <x v="0"/>
    <n v="1373"/>
    <x v="1"/>
    <n v="2"/>
    <n v="2"/>
    <s v="Other"/>
    <n v="1"/>
    <n v="4"/>
    <n v="4"/>
    <s v="Male"/>
    <n v="92"/>
    <n v="2"/>
    <n v="1"/>
    <x v="2"/>
    <n v="3"/>
    <x v="0"/>
    <n v="2090"/>
    <n v="2396"/>
    <n v="6"/>
    <s v="Y"/>
    <x v="0"/>
    <n v="15"/>
    <n v="3"/>
    <n v="2"/>
    <n v="80"/>
    <n v="0"/>
    <n v="7"/>
    <n v="3"/>
    <x v="1"/>
    <n v="0"/>
    <n v="0"/>
    <n v="0"/>
    <n v="0"/>
    <x v="0"/>
    <x v="1"/>
  </r>
  <r>
    <n v="33"/>
    <x v="1"/>
    <x v="1"/>
    <n v="1392"/>
    <x v="1"/>
    <n v="3"/>
    <n v="4"/>
    <s v="Life Sciences"/>
    <n v="1"/>
    <n v="5"/>
    <n v="4"/>
    <s v="Female"/>
    <n v="56"/>
    <n v="3"/>
    <n v="1"/>
    <x v="1"/>
    <n v="3"/>
    <x v="1"/>
    <n v="2909"/>
    <n v="23159"/>
    <n v="1"/>
    <s v="Y"/>
    <x v="0"/>
    <n v="11"/>
    <n v="3"/>
    <n v="3"/>
    <n v="80"/>
    <n v="0"/>
    <n v="8"/>
    <n v="3"/>
    <x v="1"/>
    <n v="8"/>
    <n v="7"/>
    <n v="3"/>
    <n v="0"/>
    <x v="0"/>
    <x v="1"/>
  </r>
  <r>
    <n v="27"/>
    <x v="1"/>
    <x v="0"/>
    <n v="591"/>
    <x v="1"/>
    <n v="2"/>
    <n v="1"/>
    <s v="Medical"/>
    <n v="1"/>
    <n v="7"/>
    <n v="1"/>
    <s v="Male"/>
    <n v="40"/>
    <n v="3"/>
    <n v="1"/>
    <x v="2"/>
    <n v="2"/>
    <x v="1"/>
    <n v="3468"/>
    <n v="16632"/>
    <n v="9"/>
    <s v="Y"/>
    <x v="1"/>
    <n v="12"/>
    <n v="3"/>
    <n v="4"/>
    <n v="80"/>
    <n v="1"/>
    <n v="6"/>
    <n v="3"/>
    <x v="1"/>
    <n v="2"/>
    <n v="2"/>
    <n v="2"/>
    <n v="2"/>
    <x v="1"/>
    <x v="1"/>
  </r>
  <r>
    <n v="32"/>
    <x v="1"/>
    <x v="1"/>
    <n v="1005"/>
    <x v="1"/>
    <n v="2"/>
    <n v="2"/>
    <s v="Life Sciences"/>
    <n v="1"/>
    <n v="8"/>
    <n v="4"/>
    <s v="Male"/>
    <n v="79"/>
    <n v="3"/>
    <n v="1"/>
    <x v="2"/>
    <n v="4"/>
    <x v="0"/>
    <n v="3068"/>
    <n v="11864"/>
    <n v="0"/>
    <s v="Y"/>
    <x v="1"/>
    <n v="13"/>
    <n v="3"/>
    <n v="3"/>
    <n v="80"/>
    <n v="0"/>
    <n v="8"/>
    <n v="2"/>
    <x v="2"/>
    <n v="7"/>
    <n v="7"/>
    <n v="3"/>
    <n v="6"/>
    <x v="0"/>
    <x v="2"/>
  </r>
  <r>
    <n v="59"/>
    <x v="1"/>
    <x v="0"/>
    <n v="1324"/>
    <x v="1"/>
    <n v="3"/>
    <n v="3"/>
    <s v="Medical"/>
    <n v="1"/>
    <n v="10"/>
    <n v="3"/>
    <s v="Female"/>
    <n v="81"/>
    <n v="4"/>
    <n v="1"/>
    <x v="2"/>
    <n v="1"/>
    <x v="1"/>
    <n v="2670"/>
    <n v="9964"/>
    <n v="4"/>
    <s v="Y"/>
    <x v="0"/>
    <n v="20"/>
    <n v="4"/>
    <n v="1"/>
    <n v="80"/>
    <n v="3"/>
    <n v="12"/>
    <n v="3"/>
    <x v="2"/>
    <n v="1"/>
    <n v="0"/>
    <n v="0"/>
    <n v="0"/>
    <x v="2"/>
    <x v="2"/>
  </r>
  <r>
    <n v="30"/>
    <x v="1"/>
    <x v="0"/>
    <n v="1358"/>
    <x v="1"/>
    <n v="24"/>
    <n v="1"/>
    <s v="Life Sciences"/>
    <n v="1"/>
    <n v="11"/>
    <n v="4"/>
    <s v="Male"/>
    <n v="67"/>
    <n v="3"/>
    <n v="1"/>
    <x v="2"/>
    <n v="3"/>
    <x v="2"/>
    <n v="2693"/>
    <n v="13335"/>
    <n v="1"/>
    <s v="Y"/>
    <x v="1"/>
    <n v="22"/>
    <n v="4"/>
    <n v="2"/>
    <n v="80"/>
    <n v="1"/>
    <n v="1"/>
    <n v="2"/>
    <x v="1"/>
    <n v="1"/>
    <n v="0"/>
    <n v="0"/>
    <n v="0"/>
    <x v="1"/>
    <x v="1"/>
  </r>
  <r>
    <n v="38"/>
    <x v="1"/>
    <x v="1"/>
    <n v="216"/>
    <x v="1"/>
    <n v="23"/>
    <n v="3"/>
    <s v="Life Sciences"/>
    <n v="1"/>
    <n v="12"/>
    <n v="4"/>
    <s v="Male"/>
    <n v="44"/>
    <n v="2"/>
    <n v="3"/>
    <x v="3"/>
    <n v="3"/>
    <x v="0"/>
    <n v="9526"/>
    <n v="8787"/>
    <n v="0"/>
    <s v="Y"/>
    <x v="1"/>
    <n v="21"/>
    <n v="4"/>
    <n v="2"/>
    <n v="80"/>
    <n v="0"/>
    <n v="10"/>
    <n v="2"/>
    <x v="1"/>
    <n v="9"/>
    <n v="7"/>
    <n v="1"/>
    <n v="8"/>
    <x v="0"/>
    <x v="1"/>
  </r>
  <r>
    <n v="36"/>
    <x v="1"/>
    <x v="0"/>
    <n v="1299"/>
    <x v="1"/>
    <n v="27"/>
    <n v="3"/>
    <s v="Medical"/>
    <n v="1"/>
    <n v="13"/>
    <n v="3"/>
    <s v="Male"/>
    <n v="94"/>
    <n v="3"/>
    <n v="2"/>
    <x v="4"/>
    <n v="3"/>
    <x v="1"/>
    <n v="5237"/>
    <n v="16577"/>
    <n v="6"/>
    <s v="Y"/>
    <x v="1"/>
    <n v="13"/>
    <n v="3"/>
    <n v="2"/>
    <n v="80"/>
    <n v="2"/>
    <n v="17"/>
    <n v="3"/>
    <x v="2"/>
    <n v="7"/>
    <n v="7"/>
    <n v="7"/>
    <n v="7"/>
    <x v="0"/>
    <x v="2"/>
  </r>
  <r>
    <n v="35"/>
    <x v="1"/>
    <x v="0"/>
    <n v="809"/>
    <x v="1"/>
    <n v="16"/>
    <n v="3"/>
    <s v="Medical"/>
    <n v="1"/>
    <n v="14"/>
    <n v="1"/>
    <s v="Male"/>
    <n v="84"/>
    <n v="4"/>
    <n v="1"/>
    <x v="2"/>
    <n v="2"/>
    <x v="1"/>
    <n v="2426"/>
    <n v="16479"/>
    <n v="0"/>
    <s v="Y"/>
    <x v="1"/>
    <n v="13"/>
    <n v="3"/>
    <n v="3"/>
    <n v="80"/>
    <n v="1"/>
    <n v="6"/>
    <n v="5"/>
    <x v="1"/>
    <n v="5"/>
    <n v="4"/>
    <n v="0"/>
    <n v="3"/>
    <x v="0"/>
    <x v="1"/>
  </r>
  <r>
    <n v="29"/>
    <x v="1"/>
    <x v="0"/>
    <n v="153"/>
    <x v="1"/>
    <n v="15"/>
    <n v="2"/>
    <s v="Life Sciences"/>
    <n v="1"/>
    <n v="15"/>
    <n v="4"/>
    <s v="Female"/>
    <n v="49"/>
    <n v="2"/>
    <n v="2"/>
    <x v="2"/>
    <n v="3"/>
    <x v="0"/>
    <n v="4193"/>
    <n v="12682"/>
    <n v="0"/>
    <s v="Y"/>
    <x v="0"/>
    <n v="12"/>
    <n v="3"/>
    <n v="4"/>
    <n v="80"/>
    <n v="0"/>
    <n v="10"/>
    <n v="3"/>
    <x v="1"/>
    <n v="9"/>
    <n v="5"/>
    <n v="0"/>
    <n v="8"/>
    <x v="1"/>
    <x v="1"/>
  </r>
  <r>
    <n v="31"/>
    <x v="1"/>
    <x v="0"/>
    <n v="670"/>
    <x v="1"/>
    <n v="26"/>
    <n v="1"/>
    <s v="Life Sciences"/>
    <n v="1"/>
    <n v="16"/>
    <n v="1"/>
    <s v="Male"/>
    <n v="31"/>
    <n v="3"/>
    <n v="1"/>
    <x v="1"/>
    <n v="3"/>
    <x v="2"/>
    <n v="2911"/>
    <n v="15170"/>
    <n v="1"/>
    <s v="Y"/>
    <x v="1"/>
    <n v="17"/>
    <n v="3"/>
    <n v="4"/>
    <n v="80"/>
    <n v="1"/>
    <n v="5"/>
    <n v="1"/>
    <x v="2"/>
    <n v="5"/>
    <n v="2"/>
    <n v="4"/>
    <n v="3"/>
    <x v="0"/>
    <x v="2"/>
  </r>
  <r>
    <n v="34"/>
    <x v="1"/>
    <x v="0"/>
    <n v="1346"/>
    <x v="1"/>
    <n v="19"/>
    <n v="2"/>
    <s v="Medical"/>
    <n v="1"/>
    <n v="18"/>
    <n v="2"/>
    <s v="Male"/>
    <n v="93"/>
    <n v="3"/>
    <n v="1"/>
    <x v="2"/>
    <n v="4"/>
    <x v="2"/>
    <n v="2661"/>
    <n v="8758"/>
    <n v="0"/>
    <s v="Y"/>
    <x v="1"/>
    <n v="11"/>
    <n v="3"/>
    <n v="3"/>
    <n v="80"/>
    <n v="1"/>
    <n v="3"/>
    <n v="2"/>
    <x v="1"/>
    <n v="2"/>
    <n v="2"/>
    <n v="1"/>
    <n v="2"/>
    <x v="0"/>
    <x v="1"/>
  </r>
  <r>
    <n v="28"/>
    <x v="0"/>
    <x v="0"/>
    <n v="103"/>
    <x v="1"/>
    <n v="24"/>
    <n v="3"/>
    <s v="Life Sciences"/>
    <n v="1"/>
    <n v="19"/>
    <n v="3"/>
    <s v="Male"/>
    <n v="50"/>
    <n v="2"/>
    <n v="1"/>
    <x v="2"/>
    <n v="3"/>
    <x v="0"/>
    <n v="2028"/>
    <n v="12947"/>
    <n v="5"/>
    <s v="Y"/>
    <x v="0"/>
    <n v="14"/>
    <n v="3"/>
    <n v="2"/>
    <n v="80"/>
    <n v="0"/>
    <n v="6"/>
    <n v="4"/>
    <x v="1"/>
    <n v="4"/>
    <n v="2"/>
    <n v="0"/>
    <n v="3"/>
    <x v="1"/>
    <x v="1"/>
  </r>
  <r>
    <n v="29"/>
    <x v="1"/>
    <x v="0"/>
    <n v="1389"/>
    <x v="1"/>
    <n v="21"/>
    <n v="4"/>
    <s v="Life Sciences"/>
    <n v="1"/>
    <n v="20"/>
    <n v="2"/>
    <s v="Female"/>
    <n v="51"/>
    <n v="4"/>
    <n v="3"/>
    <x v="3"/>
    <n v="1"/>
    <x v="2"/>
    <n v="9980"/>
    <n v="10195"/>
    <n v="1"/>
    <s v="Y"/>
    <x v="1"/>
    <n v="11"/>
    <n v="3"/>
    <n v="3"/>
    <n v="80"/>
    <n v="1"/>
    <n v="10"/>
    <n v="1"/>
    <x v="1"/>
    <n v="10"/>
    <n v="9"/>
    <n v="8"/>
    <n v="8"/>
    <x v="1"/>
    <x v="1"/>
  </r>
  <r>
    <n v="32"/>
    <x v="1"/>
    <x v="0"/>
    <n v="334"/>
    <x v="1"/>
    <n v="5"/>
    <n v="2"/>
    <s v="Life Sciences"/>
    <n v="1"/>
    <n v="21"/>
    <n v="1"/>
    <s v="Male"/>
    <n v="80"/>
    <n v="4"/>
    <n v="1"/>
    <x v="1"/>
    <n v="2"/>
    <x v="2"/>
    <n v="3298"/>
    <n v="15053"/>
    <n v="0"/>
    <s v="Y"/>
    <x v="0"/>
    <n v="12"/>
    <n v="3"/>
    <n v="4"/>
    <n v="80"/>
    <n v="2"/>
    <n v="7"/>
    <n v="5"/>
    <x v="2"/>
    <n v="6"/>
    <n v="2"/>
    <n v="0"/>
    <n v="5"/>
    <x v="0"/>
    <x v="2"/>
  </r>
  <r>
    <n v="22"/>
    <x v="1"/>
    <x v="2"/>
    <n v="1123"/>
    <x v="1"/>
    <n v="16"/>
    <n v="2"/>
    <s v="Medical"/>
    <n v="1"/>
    <n v="22"/>
    <n v="4"/>
    <s v="Male"/>
    <n v="96"/>
    <n v="4"/>
    <n v="1"/>
    <x v="2"/>
    <n v="4"/>
    <x v="2"/>
    <n v="2935"/>
    <n v="7324"/>
    <n v="1"/>
    <s v="Y"/>
    <x v="0"/>
    <n v="13"/>
    <n v="3"/>
    <n v="2"/>
    <n v="80"/>
    <n v="2"/>
    <n v="1"/>
    <n v="2"/>
    <x v="2"/>
    <n v="1"/>
    <n v="0"/>
    <n v="0"/>
    <n v="0"/>
    <x v="1"/>
    <x v="2"/>
  </r>
  <r>
    <n v="53"/>
    <x v="1"/>
    <x v="0"/>
    <n v="1219"/>
    <x v="0"/>
    <n v="2"/>
    <n v="4"/>
    <s v="Life Sciences"/>
    <n v="1"/>
    <n v="23"/>
    <n v="1"/>
    <s v="Female"/>
    <n v="78"/>
    <n v="2"/>
    <n v="4"/>
    <x v="5"/>
    <n v="4"/>
    <x v="1"/>
    <n v="15427"/>
    <n v="22021"/>
    <n v="2"/>
    <s v="Y"/>
    <x v="1"/>
    <n v="16"/>
    <n v="3"/>
    <n v="3"/>
    <n v="80"/>
    <n v="0"/>
    <n v="31"/>
    <n v="3"/>
    <x v="1"/>
    <n v="25"/>
    <n v="8"/>
    <n v="3"/>
    <n v="7"/>
    <x v="2"/>
    <x v="1"/>
  </r>
  <r>
    <n v="38"/>
    <x v="1"/>
    <x v="0"/>
    <n v="371"/>
    <x v="1"/>
    <n v="2"/>
    <n v="3"/>
    <s v="Life Sciences"/>
    <n v="1"/>
    <n v="24"/>
    <n v="4"/>
    <s v="Male"/>
    <n v="45"/>
    <n v="3"/>
    <n v="1"/>
    <x v="1"/>
    <n v="4"/>
    <x v="0"/>
    <n v="3944"/>
    <n v="4306"/>
    <n v="5"/>
    <s v="Y"/>
    <x v="0"/>
    <n v="11"/>
    <n v="3"/>
    <n v="3"/>
    <n v="80"/>
    <n v="0"/>
    <n v="6"/>
    <n v="3"/>
    <x v="1"/>
    <n v="3"/>
    <n v="2"/>
    <n v="1"/>
    <n v="2"/>
    <x v="0"/>
    <x v="1"/>
  </r>
  <r>
    <n v="24"/>
    <x v="1"/>
    <x v="2"/>
    <n v="673"/>
    <x v="1"/>
    <n v="11"/>
    <n v="2"/>
    <s v="Other"/>
    <n v="1"/>
    <n v="26"/>
    <n v="1"/>
    <s v="Female"/>
    <n v="96"/>
    <n v="4"/>
    <n v="2"/>
    <x v="3"/>
    <n v="3"/>
    <x v="2"/>
    <n v="4011"/>
    <n v="8232"/>
    <n v="0"/>
    <s v="Y"/>
    <x v="1"/>
    <n v="18"/>
    <n v="3"/>
    <n v="4"/>
    <n v="80"/>
    <n v="1"/>
    <n v="5"/>
    <n v="5"/>
    <x v="2"/>
    <n v="4"/>
    <n v="2"/>
    <n v="1"/>
    <n v="3"/>
    <x v="1"/>
    <x v="2"/>
  </r>
  <r>
    <n v="36"/>
    <x v="0"/>
    <x v="0"/>
    <n v="1218"/>
    <x v="0"/>
    <n v="9"/>
    <n v="4"/>
    <s v="Life Sciences"/>
    <n v="1"/>
    <n v="27"/>
    <n v="3"/>
    <s v="Male"/>
    <n v="82"/>
    <n v="2"/>
    <n v="1"/>
    <x v="6"/>
    <n v="1"/>
    <x v="0"/>
    <n v="3407"/>
    <n v="6986"/>
    <n v="7"/>
    <s v="Y"/>
    <x v="1"/>
    <n v="23"/>
    <n v="4"/>
    <n v="2"/>
    <n v="80"/>
    <n v="0"/>
    <n v="10"/>
    <n v="4"/>
    <x v="1"/>
    <n v="5"/>
    <n v="3"/>
    <n v="0"/>
    <n v="3"/>
    <x v="0"/>
    <x v="1"/>
  </r>
  <r>
    <n v="34"/>
    <x v="1"/>
    <x v="0"/>
    <n v="419"/>
    <x v="1"/>
    <n v="7"/>
    <n v="4"/>
    <s v="Life Sciences"/>
    <n v="1"/>
    <n v="28"/>
    <n v="1"/>
    <s v="Female"/>
    <n v="53"/>
    <n v="3"/>
    <n v="3"/>
    <x v="7"/>
    <n v="2"/>
    <x v="0"/>
    <n v="11994"/>
    <n v="21293"/>
    <n v="0"/>
    <s v="Y"/>
    <x v="1"/>
    <n v="11"/>
    <n v="3"/>
    <n v="3"/>
    <n v="80"/>
    <n v="0"/>
    <n v="13"/>
    <n v="4"/>
    <x v="1"/>
    <n v="12"/>
    <n v="6"/>
    <n v="2"/>
    <n v="11"/>
    <x v="0"/>
    <x v="1"/>
  </r>
  <r>
    <n v="21"/>
    <x v="1"/>
    <x v="0"/>
    <n v="391"/>
    <x v="1"/>
    <n v="15"/>
    <n v="2"/>
    <s v="Life Sciences"/>
    <n v="1"/>
    <n v="30"/>
    <n v="3"/>
    <s v="Male"/>
    <n v="96"/>
    <n v="3"/>
    <n v="1"/>
    <x v="1"/>
    <n v="4"/>
    <x v="0"/>
    <n v="1232"/>
    <n v="19281"/>
    <n v="1"/>
    <s v="Y"/>
    <x v="1"/>
    <n v="14"/>
    <n v="3"/>
    <n v="4"/>
    <n v="80"/>
    <n v="0"/>
    <n v="0"/>
    <n v="6"/>
    <x v="1"/>
    <n v="0"/>
    <n v="0"/>
    <n v="0"/>
    <n v="0"/>
    <x v="1"/>
    <x v="1"/>
  </r>
  <r>
    <n v="34"/>
    <x v="0"/>
    <x v="0"/>
    <n v="699"/>
    <x v="1"/>
    <n v="6"/>
    <n v="1"/>
    <s v="Medical"/>
    <n v="1"/>
    <n v="31"/>
    <n v="2"/>
    <s v="Male"/>
    <n v="83"/>
    <n v="3"/>
    <n v="1"/>
    <x v="1"/>
    <n v="1"/>
    <x v="0"/>
    <n v="2960"/>
    <n v="17102"/>
    <n v="2"/>
    <s v="Y"/>
    <x v="1"/>
    <n v="11"/>
    <n v="3"/>
    <n v="3"/>
    <n v="80"/>
    <n v="0"/>
    <n v="8"/>
    <n v="2"/>
    <x v="1"/>
    <n v="4"/>
    <n v="2"/>
    <n v="1"/>
    <n v="3"/>
    <x v="0"/>
    <x v="1"/>
  </r>
  <r>
    <n v="53"/>
    <x v="1"/>
    <x v="0"/>
    <n v="1282"/>
    <x v="1"/>
    <n v="5"/>
    <n v="3"/>
    <s v="Other"/>
    <n v="1"/>
    <n v="32"/>
    <n v="3"/>
    <s v="Female"/>
    <n v="58"/>
    <n v="3"/>
    <n v="5"/>
    <x v="5"/>
    <n v="3"/>
    <x v="2"/>
    <n v="19094"/>
    <n v="10735"/>
    <n v="4"/>
    <s v="Y"/>
    <x v="1"/>
    <n v="11"/>
    <n v="3"/>
    <n v="4"/>
    <n v="80"/>
    <n v="1"/>
    <n v="26"/>
    <n v="3"/>
    <x v="2"/>
    <n v="14"/>
    <n v="13"/>
    <n v="4"/>
    <n v="8"/>
    <x v="2"/>
    <x v="2"/>
  </r>
  <r>
    <n v="32"/>
    <x v="0"/>
    <x v="1"/>
    <n v="1125"/>
    <x v="1"/>
    <n v="16"/>
    <n v="1"/>
    <s v="Life Sciences"/>
    <n v="1"/>
    <n v="33"/>
    <n v="2"/>
    <s v="Female"/>
    <n v="72"/>
    <n v="1"/>
    <n v="1"/>
    <x v="1"/>
    <n v="1"/>
    <x v="0"/>
    <n v="3919"/>
    <n v="4681"/>
    <n v="1"/>
    <s v="Y"/>
    <x v="0"/>
    <n v="22"/>
    <n v="4"/>
    <n v="2"/>
    <n v="80"/>
    <n v="0"/>
    <n v="10"/>
    <n v="5"/>
    <x v="1"/>
    <n v="10"/>
    <n v="2"/>
    <n v="6"/>
    <n v="7"/>
    <x v="0"/>
    <x v="1"/>
  </r>
  <r>
    <n v="42"/>
    <x v="1"/>
    <x v="0"/>
    <n v="691"/>
    <x v="0"/>
    <n v="8"/>
    <n v="4"/>
    <s v="Marketing"/>
    <n v="1"/>
    <n v="35"/>
    <n v="3"/>
    <s v="Male"/>
    <n v="48"/>
    <n v="3"/>
    <n v="2"/>
    <x v="0"/>
    <n v="2"/>
    <x v="1"/>
    <n v="6825"/>
    <n v="21173"/>
    <n v="0"/>
    <s v="Y"/>
    <x v="1"/>
    <n v="11"/>
    <n v="3"/>
    <n v="4"/>
    <n v="80"/>
    <n v="1"/>
    <n v="10"/>
    <n v="2"/>
    <x v="1"/>
    <n v="9"/>
    <n v="7"/>
    <n v="4"/>
    <n v="2"/>
    <x v="0"/>
    <x v="1"/>
  </r>
  <r>
    <n v="44"/>
    <x v="1"/>
    <x v="0"/>
    <n v="477"/>
    <x v="1"/>
    <n v="7"/>
    <n v="4"/>
    <s v="Medical"/>
    <n v="1"/>
    <n v="36"/>
    <n v="1"/>
    <s v="Female"/>
    <n v="42"/>
    <n v="2"/>
    <n v="3"/>
    <x v="4"/>
    <n v="4"/>
    <x v="1"/>
    <n v="10248"/>
    <n v="2094"/>
    <n v="3"/>
    <s v="Y"/>
    <x v="1"/>
    <n v="14"/>
    <n v="3"/>
    <n v="4"/>
    <n v="80"/>
    <n v="1"/>
    <n v="24"/>
    <n v="4"/>
    <x v="1"/>
    <n v="22"/>
    <n v="6"/>
    <n v="5"/>
    <n v="17"/>
    <x v="0"/>
    <x v="1"/>
  </r>
  <r>
    <n v="46"/>
    <x v="1"/>
    <x v="0"/>
    <n v="705"/>
    <x v="0"/>
    <n v="2"/>
    <n v="4"/>
    <s v="Marketing"/>
    <n v="1"/>
    <n v="38"/>
    <n v="2"/>
    <s v="Female"/>
    <n v="83"/>
    <n v="3"/>
    <n v="5"/>
    <x v="5"/>
    <n v="1"/>
    <x v="0"/>
    <n v="18947"/>
    <n v="22822"/>
    <n v="3"/>
    <s v="Y"/>
    <x v="1"/>
    <n v="12"/>
    <n v="3"/>
    <n v="4"/>
    <n v="80"/>
    <n v="0"/>
    <n v="22"/>
    <n v="2"/>
    <x v="2"/>
    <n v="2"/>
    <n v="2"/>
    <n v="2"/>
    <n v="1"/>
    <x v="0"/>
    <x v="2"/>
  </r>
  <r>
    <n v="33"/>
    <x v="1"/>
    <x v="0"/>
    <n v="924"/>
    <x v="1"/>
    <n v="2"/>
    <n v="3"/>
    <s v="Medical"/>
    <n v="1"/>
    <n v="39"/>
    <n v="3"/>
    <s v="Male"/>
    <n v="78"/>
    <n v="3"/>
    <n v="1"/>
    <x v="2"/>
    <n v="4"/>
    <x v="0"/>
    <n v="2496"/>
    <n v="6670"/>
    <n v="4"/>
    <s v="Y"/>
    <x v="1"/>
    <n v="11"/>
    <n v="3"/>
    <n v="4"/>
    <n v="80"/>
    <n v="0"/>
    <n v="7"/>
    <n v="3"/>
    <x v="1"/>
    <n v="1"/>
    <n v="1"/>
    <n v="0"/>
    <n v="0"/>
    <x v="0"/>
    <x v="1"/>
  </r>
  <r>
    <n v="44"/>
    <x v="1"/>
    <x v="0"/>
    <n v="1459"/>
    <x v="1"/>
    <n v="10"/>
    <n v="4"/>
    <s v="Other"/>
    <n v="1"/>
    <n v="40"/>
    <n v="4"/>
    <s v="Male"/>
    <n v="41"/>
    <n v="3"/>
    <n v="2"/>
    <x v="4"/>
    <n v="4"/>
    <x v="1"/>
    <n v="6465"/>
    <n v="19121"/>
    <n v="2"/>
    <s v="Y"/>
    <x v="0"/>
    <n v="13"/>
    <n v="3"/>
    <n v="4"/>
    <n v="80"/>
    <n v="0"/>
    <n v="9"/>
    <n v="5"/>
    <x v="3"/>
    <n v="4"/>
    <n v="2"/>
    <n v="1"/>
    <n v="3"/>
    <x v="0"/>
    <x v="3"/>
  </r>
  <r>
    <n v="30"/>
    <x v="1"/>
    <x v="0"/>
    <n v="125"/>
    <x v="1"/>
    <n v="9"/>
    <n v="2"/>
    <s v="Medical"/>
    <n v="1"/>
    <n v="41"/>
    <n v="4"/>
    <s v="Male"/>
    <n v="83"/>
    <n v="2"/>
    <n v="1"/>
    <x v="2"/>
    <n v="3"/>
    <x v="0"/>
    <n v="2206"/>
    <n v="16117"/>
    <n v="1"/>
    <s v="Y"/>
    <x v="1"/>
    <n v="13"/>
    <n v="3"/>
    <n v="1"/>
    <n v="80"/>
    <n v="0"/>
    <n v="10"/>
    <n v="5"/>
    <x v="1"/>
    <n v="10"/>
    <n v="0"/>
    <n v="1"/>
    <n v="8"/>
    <x v="1"/>
    <x v="1"/>
  </r>
  <r>
    <n v="39"/>
    <x v="0"/>
    <x v="0"/>
    <n v="895"/>
    <x v="0"/>
    <n v="5"/>
    <n v="3"/>
    <s v="Technical Degree"/>
    <n v="1"/>
    <n v="42"/>
    <n v="4"/>
    <s v="Male"/>
    <n v="56"/>
    <n v="3"/>
    <n v="2"/>
    <x v="6"/>
    <n v="4"/>
    <x v="1"/>
    <n v="2086"/>
    <n v="3335"/>
    <n v="3"/>
    <s v="Y"/>
    <x v="1"/>
    <n v="14"/>
    <n v="3"/>
    <n v="3"/>
    <n v="80"/>
    <n v="1"/>
    <n v="19"/>
    <n v="6"/>
    <x v="3"/>
    <n v="1"/>
    <n v="0"/>
    <n v="0"/>
    <n v="0"/>
    <x v="0"/>
    <x v="3"/>
  </r>
  <r>
    <n v="24"/>
    <x v="0"/>
    <x v="0"/>
    <n v="813"/>
    <x v="1"/>
    <n v="1"/>
    <n v="3"/>
    <s v="Medical"/>
    <n v="1"/>
    <n v="45"/>
    <n v="2"/>
    <s v="Male"/>
    <n v="61"/>
    <n v="3"/>
    <n v="1"/>
    <x v="1"/>
    <n v="4"/>
    <x v="1"/>
    <n v="2293"/>
    <n v="3020"/>
    <n v="2"/>
    <s v="Y"/>
    <x v="0"/>
    <n v="16"/>
    <n v="3"/>
    <n v="1"/>
    <n v="80"/>
    <n v="1"/>
    <n v="6"/>
    <n v="2"/>
    <x v="2"/>
    <n v="2"/>
    <n v="0"/>
    <n v="2"/>
    <n v="0"/>
    <x v="1"/>
    <x v="2"/>
  </r>
  <r>
    <n v="43"/>
    <x v="1"/>
    <x v="0"/>
    <n v="1273"/>
    <x v="1"/>
    <n v="2"/>
    <n v="2"/>
    <s v="Medical"/>
    <n v="1"/>
    <n v="46"/>
    <n v="4"/>
    <s v="Female"/>
    <n v="72"/>
    <n v="4"/>
    <n v="1"/>
    <x v="1"/>
    <n v="3"/>
    <x v="2"/>
    <n v="2645"/>
    <n v="21923"/>
    <n v="1"/>
    <s v="Y"/>
    <x v="1"/>
    <n v="12"/>
    <n v="3"/>
    <n v="4"/>
    <n v="80"/>
    <n v="2"/>
    <n v="6"/>
    <n v="3"/>
    <x v="2"/>
    <n v="5"/>
    <n v="3"/>
    <n v="1"/>
    <n v="4"/>
    <x v="0"/>
    <x v="2"/>
  </r>
  <r>
    <n v="50"/>
    <x v="0"/>
    <x v="0"/>
    <n v="869"/>
    <x v="0"/>
    <n v="3"/>
    <n v="2"/>
    <s v="Marketing"/>
    <n v="1"/>
    <n v="47"/>
    <n v="1"/>
    <s v="Male"/>
    <n v="86"/>
    <n v="2"/>
    <n v="1"/>
    <x v="6"/>
    <n v="3"/>
    <x v="1"/>
    <n v="2683"/>
    <n v="3810"/>
    <n v="1"/>
    <s v="Y"/>
    <x v="0"/>
    <n v="14"/>
    <n v="3"/>
    <n v="3"/>
    <n v="80"/>
    <n v="0"/>
    <n v="3"/>
    <n v="2"/>
    <x v="1"/>
    <n v="3"/>
    <n v="2"/>
    <n v="0"/>
    <n v="2"/>
    <x v="0"/>
    <x v="1"/>
  </r>
  <r>
    <n v="35"/>
    <x v="1"/>
    <x v="0"/>
    <n v="890"/>
    <x v="0"/>
    <n v="2"/>
    <n v="3"/>
    <s v="Marketing"/>
    <n v="1"/>
    <n v="49"/>
    <n v="4"/>
    <s v="Female"/>
    <n v="97"/>
    <n v="3"/>
    <n v="1"/>
    <x v="6"/>
    <n v="4"/>
    <x v="1"/>
    <n v="2014"/>
    <n v="9687"/>
    <n v="1"/>
    <s v="Y"/>
    <x v="1"/>
    <n v="13"/>
    <n v="3"/>
    <n v="1"/>
    <n v="80"/>
    <n v="0"/>
    <n v="2"/>
    <n v="3"/>
    <x v="1"/>
    <n v="2"/>
    <n v="2"/>
    <n v="2"/>
    <n v="2"/>
    <x v="0"/>
    <x v="1"/>
  </r>
  <r>
    <n v="36"/>
    <x v="1"/>
    <x v="0"/>
    <n v="852"/>
    <x v="1"/>
    <n v="5"/>
    <n v="4"/>
    <s v="Life Sciences"/>
    <n v="1"/>
    <n v="51"/>
    <n v="2"/>
    <s v="Female"/>
    <n v="82"/>
    <n v="2"/>
    <n v="1"/>
    <x v="1"/>
    <n v="1"/>
    <x v="1"/>
    <n v="3419"/>
    <n v="13072"/>
    <n v="9"/>
    <s v="Y"/>
    <x v="0"/>
    <n v="14"/>
    <n v="3"/>
    <n v="4"/>
    <n v="80"/>
    <n v="1"/>
    <n v="6"/>
    <n v="3"/>
    <x v="3"/>
    <n v="1"/>
    <n v="1"/>
    <n v="0"/>
    <n v="0"/>
    <x v="0"/>
    <x v="3"/>
  </r>
  <r>
    <n v="33"/>
    <x v="1"/>
    <x v="1"/>
    <n v="1141"/>
    <x v="0"/>
    <n v="1"/>
    <n v="3"/>
    <s v="Life Sciences"/>
    <n v="1"/>
    <n v="52"/>
    <n v="3"/>
    <s v="Female"/>
    <n v="42"/>
    <n v="4"/>
    <n v="2"/>
    <x v="0"/>
    <n v="1"/>
    <x v="1"/>
    <n v="5376"/>
    <n v="3193"/>
    <n v="2"/>
    <s v="Y"/>
    <x v="1"/>
    <n v="19"/>
    <n v="3"/>
    <n v="1"/>
    <n v="80"/>
    <n v="2"/>
    <n v="10"/>
    <n v="3"/>
    <x v="1"/>
    <n v="5"/>
    <n v="3"/>
    <n v="1"/>
    <n v="3"/>
    <x v="0"/>
    <x v="1"/>
  </r>
  <r>
    <n v="35"/>
    <x v="1"/>
    <x v="0"/>
    <n v="464"/>
    <x v="1"/>
    <n v="4"/>
    <n v="2"/>
    <s v="Other"/>
    <n v="1"/>
    <n v="53"/>
    <n v="3"/>
    <s v="Male"/>
    <n v="75"/>
    <n v="3"/>
    <n v="1"/>
    <x v="2"/>
    <n v="4"/>
    <x v="2"/>
    <n v="1951"/>
    <n v="10910"/>
    <n v="1"/>
    <s v="Y"/>
    <x v="1"/>
    <n v="12"/>
    <n v="3"/>
    <n v="3"/>
    <n v="80"/>
    <n v="1"/>
    <n v="1"/>
    <n v="3"/>
    <x v="1"/>
    <n v="1"/>
    <n v="0"/>
    <n v="0"/>
    <n v="0"/>
    <x v="0"/>
    <x v="1"/>
  </r>
  <r>
    <n v="27"/>
    <x v="1"/>
    <x v="0"/>
    <n v="1240"/>
    <x v="1"/>
    <n v="2"/>
    <n v="4"/>
    <s v="Life Sciences"/>
    <n v="1"/>
    <n v="54"/>
    <n v="4"/>
    <s v="Female"/>
    <n v="33"/>
    <n v="3"/>
    <n v="1"/>
    <x v="2"/>
    <n v="1"/>
    <x v="2"/>
    <n v="2341"/>
    <n v="19715"/>
    <n v="1"/>
    <s v="Y"/>
    <x v="1"/>
    <n v="13"/>
    <n v="3"/>
    <n v="4"/>
    <n v="80"/>
    <n v="1"/>
    <n v="1"/>
    <n v="6"/>
    <x v="1"/>
    <n v="1"/>
    <n v="0"/>
    <n v="0"/>
    <n v="0"/>
    <x v="1"/>
    <x v="1"/>
  </r>
  <r>
    <n v="26"/>
    <x v="0"/>
    <x v="0"/>
    <n v="1357"/>
    <x v="1"/>
    <n v="25"/>
    <n v="3"/>
    <s v="Life Sciences"/>
    <n v="1"/>
    <n v="55"/>
    <n v="1"/>
    <s v="Male"/>
    <n v="48"/>
    <n v="1"/>
    <n v="1"/>
    <x v="2"/>
    <n v="3"/>
    <x v="0"/>
    <n v="2293"/>
    <n v="10558"/>
    <n v="1"/>
    <s v="Y"/>
    <x v="1"/>
    <n v="12"/>
    <n v="3"/>
    <n v="3"/>
    <n v="80"/>
    <n v="0"/>
    <n v="1"/>
    <n v="2"/>
    <x v="2"/>
    <n v="1"/>
    <n v="0"/>
    <n v="0"/>
    <n v="1"/>
    <x v="1"/>
    <x v="2"/>
  </r>
  <r>
    <n v="27"/>
    <x v="1"/>
    <x v="1"/>
    <n v="994"/>
    <x v="0"/>
    <n v="8"/>
    <n v="3"/>
    <s v="Life Sciences"/>
    <n v="1"/>
    <n v="56"/>
    <n v="4"/>
    <s v="Male"/>
    <n v="37"/>
    <n v="3"/>
    <n v="3"/>
    <x v="0"/>
    <n v="3"/>
    <x v="0"/>
    <n v="8726"/>
    <n v="2975"/>
    <n v="1"/>
    <s v="Y"/>
    <x v="1"/>
    <n v="15"/>
    <n v="3"/>
    <n v="4"/>
    <n v="80"/>
    <n v="0"/>
    <n v="9"/>
    <n v="0"/>
    <x v="1"/>
    <n v="9"/>
    <n v="8"/>
    <n v="1"/>
    <n v="7"/>
    <x v="1"/>
    <x v="1"/>
  </r>
  <r>
    <n v="30"/>
    <x v="1"/>
    <x v="1"/>
    <n v="721"/>
    <x v="1"/>
    <n v="1"/>
    <n v="2"/>
    <s v="Medical"/>
    <n v="1"/>
    <n v="57"/>
    <n v="3"/>
    <s v="Female"/>
    <n v="58"/>
    <n v="3"/>
    <n v="2"/>
    <x v="2"/>
    <n v="4"/>
    <x v="0"/>
    <n v="4011"/>
    <n v="10781"/>
    <n v="1"/>
    <s v="Y"/>
    <x v="1"/>
    <n v="23"/>
    <n v="4"/>
    <n v="4"/>
    <n v="80"/>
    <n v="0"/>
    <n v="12"/>
    <n v="2"/>
    <x v="1"/>
    <n v="12"/>
    <n v="8"/>
    <n v="3"/>
    <n v="7"/>
    <x v="1"/>
    <x v="1"/>
  </r>
  <r>
    <n v="41"/>
    <x v="0"/>
    <x v="0"/>
    <n v="1360"/>
    <x v="1"/>
    <n v="12"/>
    <n v="3"/>
    <s v="Technical Degree"/>
    <n v="1"/>
    <n v="58"/>
    <n v="2"/>
    <s v="Female"/>
    <n v="49"/>
    <n v="3"/>
    <n v="5"/>
    <x v="7"/>
    <n v="3"/>
    <x v="1"/>
    <n v="19545"/>
    <n v="16280"/>
    <n v="1"/>
    <s v="Y"/>
    <x v="1"/>
    <n v="12"/>
    <n v="3"/>
    <n v="4"/>
    <n v="80"/>
    <n v="0"/>
    <n v="23"/>
    <n v="0"/>
    <x v="1"/>
    <n v="22"/>
    <n v="15"/>
    <n v="15"/>
    <n v="8"/>
    <x v="0"/>
    <x v="1"/>
  </r>
  <r>
    <n v="34"/>
    <x v="1"/>
    <x v="2"/>
    <n v="1065"/>
    <x v="0"/>
    <n v="23"/>
    <n v="4"/>
    <s v="Marketing"/>
    <n v="1"/>
    <n v="60"/>
    <n v="2"/>
    <s v="Male"/>
    <n v="72"/>
    <n v="3"/>
    <n v="2"/>
    <x v="0"/>
    <n v="3"/>
    <x v="0"/>
    <n v="4568"/>
    <n v="10034"/>
    <n v="0"/>
    <s v="Y"/>
    <x v="1"/>
    <n v="20"/>
    <n v="4"/>
    <n v="3"/>
    <n v="80"/>
    <n v="0"/>
    <n v="10"/>
    <n v="2"/>
    <x v="1"/>
    <n v="9"/>
    <n v="5"/>
    <n v="8"/>
    <n v="7"/>
    <x v="0"/>
    <x v="1"/>
  </r>
  <r>
    <n v="37"/>
    <x v="1"/>
    <x v="0"/>
    <n v="408"/>
    <x v="1"/>
    <n v="19"/>
    <n v="2"/>
    <s v="Life Sciences"/>
    <n v="1"/>
    <n v="61"/>
    <n v="2"/>
    <s v="Male"/>
    <n v="73"/>
    <n v="3"/>
    <n v="1"/>
    <x v="1"/>
    <n v="2"/>
    <x v="1"/>
    <n v="3022"/>
    <n v="10227"/>
    <n v="4"/>
    <s v="Y"/>
    <x v="1"/>
    <n v="21"/>
    <n v="4"/>
    <n v="1"/>
    <n v="80"/>
    <n v="0"/>
    <n v="8"/>
    <n v="1"/>
    <x v="1"/>
    <n v="1"/>
    <n v="0"/>
    <n v="0"/>
    <n v="0"/>
    <x v="0"/>
    <x v="1"/>
  </r>
  <r>
    <n v="46"/>
    <x v="1"/>
    <x v="1"/>
    <n v="1211"/>
    <x v="0"/>
    <n v="5"/>
    <n v="4"/>
    <s v="Marketing"/>
    <n v="1"/>
    <n v="62"/>
    <n v="1"/>
    <s v="Male"/>
    <n v="98"/>
    <n v="3"/>
    <n v="2"/>
    <x v="0"/>
    <n v="4"/>
    <x v="0"/>
    <n v="5772"/>
    <n v="20445"/>
    <n v="4"/>
    <s v="Y"/>
    <x v="0"/>
    <n v="21"/>
    <n v="4"/>
    <n v="3"/>
    <n v="80"/>
    <n v="0"/>
    <n v="14"/>
    <n v="4"/>
    <x v="1"/>
    <n v="9"/>
    <n v="6"/>
    <n v="0"/>
    <n v="8"/>
    <x v="0"/>
    <x v="1"/>
  </r>
  <r>
    <n v="35"/>
    <x v="1"/>
    <x v="0"/>
    <n v="1229"/>
    <x v="1"/>
    <n v="8"/>
    <n v="1"/>
    <s v="Life Sciences"/>
    <n v="1"/>
    <n v="63"/>
    <n v="4"/>
    <s v="Male"/>
    <n v="36"/>
    <n v="4"/>
    <n v="1"/>
    <x v="2"/>
    <n v="4"/>
    <x v="1"/>
    <n v="2269"/>
    <n v="4892"/>
    <n v="1"/>
    <s v="Y"/>
    <x v="1"/>
    <n v="19"/>
    <n v="3"/>
    <n v="4"/>
    <n v="80"/>
    <n v="0"/>
    <n v="1"/>
    <n v="2"/>
    <x v="1"/>
    <n v="1"/>
    <n v="0"/>
    <n v="0"/>
    <n v="1"/>
    <x v="0"/>
    <x v="1"/>
  </r>
  <r>
    <n v="48"/>
    <x v="0"/>
    <x v="0"/>
    <n v="626"/>
    <x v="1"/>
    <n v="1"/>
    <n v="2"/>
    <s v="Life Sciences"/>
    <n v="1"/>
    <n v="64"/>
    <n v="1"/>
    <s v="Male"/>
    <n v="98"/>
    <n v="2"/>
    <n v="3"/>
    <x v="2"/>
    <n v="3"/>
    <x v="0"/>
    <n v="5381"/>
    <n v="19294"/>
    <n v="9"/>
    <s v="Y"/>
    <x v="0"/>
    <n v="13"/>
    <n v="3"/>
    <n v="4"/>
    <n v="80"/>
    <n v="0"/>
    <n v="23"/>
    <n v="2"/>
    <x v="1"/>
    <n v="1"/>
    <n v="0"/>
    <n v="0"/>
    <n v="0"/>
    <x v="0"/>
    <x v="1"/>
  </r>
  <r>
    <n v="28"/>
    <x v="0"/>
    <x v="0"/>
    <n v="1434"/>
    <x v="1"/>
    <n v="5"/>
    <n v="4"/>
    <s v="Technical Degree"/>
    <n v="1"/>
    <n v="65"/>
    <n v="3"/>
    <s v="Male"/>
    <n v="50"/>
    <n v="3"/>
    <n v="1"/>
    <x v="2"/>
    <n v="3"/>
    <x v="0"/>
    <n v="3441"/>
    <n v="11179"/>
    <n v="1"/>
    <s v="Y"/>
    <x v="0"/>
    <n v="13"/>
    <n v="3"/>
    <n v="3"/>
    <n v="80"/>
    <n v="0"/>
    <n v="2"/>
    <n v="3"/>
    <x v="2"/>
    <n v="2"/>
    <n v="2"/>
    <n v="2"/>
    <n v="2"/>
    <x v="1"/>
    <x v="2"/>
  </r>
  <r>
    <n v="44"/>
    <x v="1"/>
    <x v="0"/>
    <n v="1488"/>
    <x v="0"/>
    <n v="1"/>
    <n v="5"/>
    <s v="Marketing"/>
    <n v="1"/>
    <n v="68"/>
    <n v="2"/>
    <s v="Female"/>
    <n v="75"/>
    <n v="3"/>
    <n v="2"/>
    <x v="0"/>
    <n v="1"/>
    <x v="2"/>
    <n v="5454"/>
    <n v="4009"/>
    <n v="5"/>
    <s v="Y"/>
    <x v="0"/>
    <n v="21"/>
    <n v="4"/>
    <n v="3"/>
    <n v="80"/>
    <n v="1"/>
    <n v="9"/>
    <n v="2"/>
    <x v="2"/>
    <n v="4"/>
    <n v="3"/>
    <n v="1"/>
    <n v="3"/>
    <x v="0"/>
    <x v="2"/>
  </r>
  <r>
    <n v="35"/>
    <x v="1"/>
    <x v="2"/>
    <n v="1097"/>
    <x v="1"/>
    <n v="11"/>
    <n v="2"/>
    <s v="Medical"/>
    <n v="1"/>
    <n v="70"/>
    <n v="3"/>
    <s v="Male"/>
    <n v="79"/>
    <n v="2"/>
    <n v="3"/>
    <x v="4"/>
    <n v="1"/>
    <x v="1"/>
    <n v="9884"/>
    <n v="8302"/>
    <n v="2"/>
    <s v="Y"/>
    <x v="0"/>
    <n v="13"/>
    <n v="3"/>
    <n v="3"/>
    <n v="80"/>
    <n v="1"/>
    <n v="10"/>
    <n v="3"/>
    <x v="1"/>
    <n v="4"/>
    <n v="0"/>
    <n v="2"/>
    <n v="3"/>
    <x v="0"/>
    <x v="1"/>
  </r>
  <r>
    <n v="26"/>
    <x v="1"/>
    <x v="0"/>
    <n v="1443"/>
    <x v="0"/>
    <n v="23"/>
    <n v="3"/>
    <s v="Marketing"/>
    <n v="1"/>
    <n v="72"/>
    <n v="3"/>
    <s v="Female"/>
    <n v="47"/>
    <n v="2"/>
    <n v="2"/>
    <x v="0"/>
    <n v="4"/>
    <x v="1"/>
    <n v="4157"/>
    <n v="21436"/>
    <n v="7"/>
    <s v="Y"/>
    <x v="0"/>
    <n v="19"/>
    <n v="3"/>
    <n v="3"/>
    <n v="80"/>
    <n v="1"/>
    <n v="5"/>
    <n v="2"/>
    <x v="2"/>
    <n v="2"/>
    <n v="2"/>
    <n v="0"/>
    <n v="0"/>
    <x v="1"/>
    <x v="2"/>
  </r>
  <r>
    <n v="33"/>
    <x v="1"/>
    <x v="1"/>
    <n v="515"/>
    <x v="1"/>
    <n v="1"/>
    <n v="2"/>
    <s v="Life Sciences"/>
    <n v="1"/>
    <n v="73"/>
    <n v="1"/>
    <s v="Female"/>
    <n v="98"/>
    <n v="3"/>
    <n v="3"/>
    <x v="7"/>
    <n v="4"/>
    <x v="0"/>
    <n v="13458"/>
    <n v="15146"/>
    <n v="1"/>
    <s v="Y"/>
    <x v="0"/>
    <n v="12"/>
    <n v="3"/>
    <n v="3"/>
    <n v="80"/>
    <n v="0"/>
    <n v="15"/>
    <n v="1"/>
    <x v="1"/>
    <n v="15"/>
    <n v="14"/>
    <n v="8"/>
    <n v="12"/>
    <x v="0"/>
    <x v="1"/>
  </r>
  <r>
    <n v="35"/>
    <x v="1"/>
    <x v="1"/>
    <n v="853"/>
    <x v="0"/>
    <n v="18"/>
    <n v="5"/>
    <s v="Life Sciences"/>
    <n v="1"/>
    <n v="74"/>
    <n v="2"/>
    <s v="Male"/>
    <n v="71"/>
    <n v="3"/>
    <n v="3"/>
    <x v="0"/>
    <n v="1"/>
    <x v="1"/>
    <n v="9069"/>
    <n v="11031"/>
    <n v="1"/>
    <s v="Y"/>
    <x v="1"/>
    <n v="22"/>
    <n v="4"/>
    <n v="4"/>
    <n v="80"/>
    <n v="1"/>
    <n v="9"/>
    <n v="3"/>
    <x v="2"/>
    <n v="9"/>
    <n v="8"/>
    <n v="1"/>
    <n v="8"/>
    <x v="0"/>
    <x v="2"/>
  </r>
  <r>
    <n v="35"/>
    <x v="1"/>
    <x v="0"/>
    <n v="1142"/>
    <x v="1"/>
    <n v="23"/>
    <n v="4"/>
    <s v="Medical"/>
    <n v="1"/>
    <n v="75"/>
    <n v="3"/>
    <s v="Female"/>
    <n v="30"/>
    <n v="3"/>
    <n v="1"/>
    <x v="2"/>
    <n v="1"/>
    <x v="1"/>
    <n v="4014"/>
    <n v="16002"/>
    <n v="3"/>
    <s v="Y"/>
    <x v="0"/>
    <n v="15"/>
    <n v="3"/>
    <n v="3"/>
    <n v="80"/>
    <n v="1"/>
    <n v="4"/>
    <n v="3"/>
    <x v="1"/>
    <n v="2"/>
    <n v="2"/>
    <n v="2"/>
    <n v="2"/>
    <x v="0"/>
    <x v="1"/>
  </r>
  <r>
    <n v="31"/>
    <x v="1"/>
    <x v="0"/>
    <n v="655"/>
    <x v="1"/>
    <n v="7"/>
    <n v="4"/>
    <s v="Life Sciences"/>
    <n v="1"/>
    <n v="76"/>
    <n v="4"/>
    <s v="Male"/>
    <n v="48"/>
    <n v="3"/>
    <n v="2"/>
    <x v="2"/>
    <n v="4"/>
    <x v="2"/>
    <n v="5915"/>
    <n v="9528"/>
    <n v="3"/>
    <s v="Y"/>
    <x v="1"/>
    <n v="22"/>
    <n v="4"/>
    <n v="4"/>
    <n v="80"/>
    <n v="1"/>
    <n v="10"/>
    <n v="3"/>
    <x v="2"/>
    <n v="7"/>
    <n v="7"/>
    <n v="1"/>
    <n v="7"/>
    <x v="0"/>
    <x v="2"/>
  </r>
  <r>
    <n v="37"/>
    <x v="1"/>
    <x v="0"/>
    <n v="1115"/>
    <x v="1"/>
    <n v="1"/>
    <n v="4"/>
    <s v="Life Sciences"/>
    <n v="1"/>
    <n v="77"/>
    <n v="1"/>
    <s v="Male"/>
    <n v="51"/>
    <n v="2"/>
    <n v="2"/>
    <x v="3"/>
    <n v="3"/>
    <x v="2"/>
    <n v="5993"/>
    <n v="2689"/>
    <n v="1"/>
    <s v="Y"/>
    <x v="1"/>
    <n v="18"/>
    <n v="3"/>
    <n v="3"/>
    <n v="80"/>
    <n v="1"/>
    <n v="7"/>
    <n v="2"/>
    <x v="3"/>
    <n v="7"/>
    <n v="5"/>
    <n v="0"/>
    <n v="7"/>
    <x v="0"/>
    <x v="3"/>
  </r>
  <r>
    <n v="32"/>
    <x v="1"/>
    <x v="0"/>
    <n v="427"/>
    <x v="1"/>
    <n v="1"/>
    <n v="3"/>
    <s v="Medical"/>
    <n v="1"/>
    <n v="78"/>
    <n v="1"/>
    <s v="Male"/>
    <n v="33"/>
    <n v="3"/>
    <n v="2"/>
    <x v="3"/>
    <n v="4"/>
    <x v="1"/>
    <n v="6162"/>
    <n v="10877"/>
    <n v="1"/>
    <s v="Y"/>
    <x v="0"/>
    <n v="22"/>
    <n v="4"/>
    <n v="2"/>
    <n v="80"/>
    <n v="1"/>
    <n v="9"/>
    <n v="3"/>
    <x v="1"/>
    <n v="9"/>
    <n v="8"/>
    <n v="7"/>
    <n v="8"/>
    <x v="0"/>
    <x v="1"/>
  </r>
  <r>
    <n v="38"/>
    <x v="1"/>
    <x v="1"/>
    <n v="653"/>
    <x v="1"/>
    <n v="29"/>
    <n v="5"/>
    <s v="Life Sciences"/>
    <n v="1"/>
    <n v="79"/>
    <n v="4"/>
    <s v="Female"/>
    <n v="50"/>
    <n v="3"/>
    <n v="2"/>
    <x v="2"/>
    <n v="4"/>
    <x v="0"/>
    <n v="2406"/>
    <n v="5456"/>
    <n v="1"/>
    <s v="Y"/>
    <x v="1"/>
    <n v="11"/>
    <n v="3"/>
    <n v="4"/>
    <n v="80"/>
    <n v="0"/>
    <n v="10"/>
    <n v="2"/>
    <x v="1"/>
    <n v="10"/>
    <n v="3"/>
    <n v="9"/>
    <n v="9"/>
    <x v="0"/>
    <x v="1"/>
  </r>
  <r>
    <n v="50"/>
    <x v="1"/>
    <x v="0"/>
    <n v="989"/>
    <x v="1"/>
    <n v="7"/>
    <n v="2"/>
    <s v="Medical"/>
    <n v="1"/>
    <n v="80"/>
    <n v="2"/>
    <s v="Female"/>
    <n v="43"/>
    <n v="2"/>
    <n v="5"/>
    <x v="7"/>
    <n v="3"/>
    <x v="2"/>
    <n v="18740"/>
    <n v="16701"/>
    <n v="5"/>
    <s v="Y"/>
    <x v="0"/>
    <n v="12"/>
    <n v="3"/>
    <n v="4"/>
    <n v="80"/>
    <n v="1"/>
    <n v="29"/>
    <n v="2"/>
    <x v="2"/>
    <n v="27"/>
    <n v="3"/>
    <n v="13"/>
    <n v="8"/>
    <x v="0"/>
    <x v="2"/>
  </r>
  <r>
    <n v="59"/>
    <x v="1"/>
    <x v="0"/>
    <n v="1435"/>
    <x v="0"/>
    <n v="25"/>
    <n v="3"/>
    <s v="Life Sciences"/>
    <n v="1"/>
    <n v="81"/>
    <n v="1"/>
    <s v="Female"/>
    <n v="99"/>
    <n v="3"/>
    <n v="3"/>
    <x v="0"/>
    <n v="1"/>
    <x v="0"/>
    <n v="7637"/>
    <n v="2354"/>
    <n v="7"/>
    <s v="Y"/>
    <x v="1"/>
    <n v="11"/>
    <n v="3"/>
    <n v="4"/>
    <n v="80"/>
    <n v="0"/>
    <n v="28"/>
    <n v="3"/>
    <x v="2"/>
    <n v="21"/>
    <n v="16"/>
    <n v="7"/>
    <n v="9"/>
    <x v="2"/>
    <x v="2"/>
  </r>
  <r>
    <n v="36"/>
    <x v="1"/>
    <x v="0"/>
    <n v="1223"/>
    <x v="1"/>
    <n v="8"/>
    <n v="3"/>
    <s v="Technical Degree"/>
    <n v="1"/>
    <n v="83"/>
    <n v="3"/>
    <s v="Female"/>
    <n v="59"/>
    <n v="3"/>
    <n v="3"/>
    <x v="4"/>
    <n v="3"/>
    <x v="2"/>
    <n v="10096"/>
    <n v="8202"/>
    <n v="1"/>
    <s v="Y"/>
    <x v="1"/>
    <n v="13"/>
    <n v="3"/>
    <n v="2"/>
    <n v="80"/>
    <n v="3"/>
    <n v="17"/>
    <n v="2"/>
    <x v="1"/>
    <n v="17"/>
    <n v="14"/>
    <n v="12"/>
    <n v="8"/>
    <x v="0"/>
    <x v="1"/>
  </r>
  <r>
    <n v="55"/>
    <x v="1"/>
    <x v="0"/>
    <n v="836"/>
    <x v="1"/>
    <n v="8"/>
    <n v="3"/>
    <s v="Medical"/>
    <n v="1"/>
    <n v="84"/>
    <n v="4"/>
    <s v="Female"/>
    <n v="33"/>
    <n v="3"/>
    <n v="4"/>
    <x v="5"/>
    <n v="3"/>
    <x v="2"/>
    <n v="14756"/>
    <n v="19730"/>
    <n v="2"/>
    <s v="Y"/>
    <x v="0"/>
    <n v="14"/>
    <n v="3"/>
    <n v="3"/>
    <n v="80"/>
    <n v="3"/>
    <n v="21"/>
    <n v="2"/>
    <x v="1"/>
    <n v="5"/>
    <n v="0"/>
    <n v="0"/>
    <n v="2"/>
    <x v="2"/>
    <x v="1"/>
  </r>
  <r>
    <n v="36"/>
    <x v="1"/>
    <x v="1"/>
    <n v="1195"/>
    <x v="1"/>
    <n v="11"/>
    <n v="3"/>
    <s v="Life Sciences"/>
    <n v="1"/>
    <n v="85"/>
    <n v="2"/>
    <s v="Male"/>
    <n v="95"/>
    <n v="2"/>
    <n v="2"/>
    <x v="3"/>
    <n v="2"/>
    <x v="0"/>
    <n v="6499"/>
    <n v="22656"/>
    <n v="1"/>
    <s v="Y"/>
    <x v="1"/>
    <n v="13"/>
    <n v="3"/>
    <n v="3"/>
    <n v="80"/>
    <n v="0"/>
    <n v="6"/>
    <n v="3"/>
    <x v="1"/>
    <n v="6"/>
    <n v="5"/>
    <n v="0"/>
    <n v="3"/>
    <x v="0"/>
    <x v="1"/>
  </r>
  <r>
    <n v="45"/>
    <x v="1"/>
    <x v="0"/>
    <n v="1339"/>
    <x v="1"/>
    <n v="7"/>
    <n v="3"/>
    <s v="Life Sciences"/>
    <n v="1"/>
    <n v="86"/>
    <n v="2"/>
    <s v="Male"/>
    <n v="59"/>
    <n v="3"/>
    <n v="3"/>
    <x v="1"/>
    <n v="1"/>
    <x v="2"/>
    <n v="9724"/>
    <n v="18787"/>
    <n v="2"/>
    <s v="Y"/>
    <x v="1"/>
    <n v="17"/>
    <n v="3"/>
    <n v="3"/>
    <n v="80"/>
    <n v="1"/>
    <n v="25"/>
    <n v="2"/>
    <x v="1"/>
    <n v="1"/>
    <n v="0"/>
    <n v="0"/>
    <n v="0"/>
    <x v="0"/>
    <x v="1"/>
  </r>
  <r>
    <n v="35"/>
    <x v="1"/>
    <x v="1"/>
    <n v="664"/>
    <x v="1"/>
    <n v="1"/>
    <n v="3"/>
    <s v="Medical"/>
    <n v="1"/>
    <n v="88"/>
    <n v="2"/>
    <s v="Male"/>
    <n v="79"/>
    <n v="3"/>
    <n v="1"/>
    <x v="1"/>
    <n v="1"/>
    <x v="1"/>
    <n v="2194"/>
    <n v="5868"/>
    <n v="4"/>
    <s v="Y"/>
    <x v="1"/>
    <n v="13"/>
    <n v="3"/>
    <n v="4"/>
    <n v="80"/>
    <n v="1"/>
    <n v="5"/>
    <n v="2"/>
    <x v="2"/>
    <n v="3"/>
    <n v="2"/>
    <n v="1"/>
    <n v="2"/>
    <x v="0"/>
    <x v="2"/>
  </r>
  <r>
    <n v="36"/>
    <x v="0"/>
    <x v="0"/>
    <n v="318"/>
    <x v="1"/>
    <n v="9"/>
    <n v="3"/>
    <s v="Medical"/>
    <n v="1"/>
    <n v="90"/>
    <n v="4"/>
    <s v="Male"/>
    <n v="79"/>
    <n v="2"/>
    <n v="1"/>
    <x v="1"/>
    <n v="3"/>
    <x v="1"/>
    <n v="3388"/>
    <n v="21777"/>
    <n v="0"/>
    <s v="Y"/>
    <x v="0"/>
    <n v="17"/>
    <n v="3"/>
    <n v="1"/>
    <n v="80"/>
    <n v="1"/>
    <n v="2"/>
    <n v="0"/>
    <x v="2"/>
    <n v="1"/>
    <n v="0"/>
    <n v="0"/>
    <n v="0"/>
    <x v="0"/>
    <x v="2"/>
  </r>
  <r>
    <n v="59"/>
    <x v="1"/>
    <x v="1"/>
    <n v="1225"/>
    <x v="0"/>
    <n v="1"/>
    <n v="1"/>
    <s v="Life Sciences"/>
    <n v="1"/>
    <n v="91"/>
    <n v="1"/>
    <s v="Female"/>
    <n v="57"/>
    <n v="2"/>
    <n v="2"/>
    <x v="0"/>
    <n v="3"/>
    <x v="0"/>
    <n v="5473"/>
    <n v="24668"/>
    <n v="7"/>
    <s v="Y"/>
    <x v="1"/>
    <n v="11"/>
    <n v="3"/>
    <n v="4"/>
    <n v="80"/>
    <n v="0"/>
    <n v="20"/>
    <n v="2"/>
    <x v="2"/>
    <n v="4"/>
    <n v="3"/>
    <n v="1"/>
    <n v="3"/>
    <x v="2"/>
    <x v="2"/>
  </r>
  <r>
    <n v="29"/>
    <x v="1"/>
    <x v="0"/>
    <n v="1328"/>
    <x v="1"/>
    <n v="2"/>
    <n v="3"/>
    <s v="Life Sciences"/>
    <n v="1"/>
    <n v="94"/>
    <n v="3"/>
    <s v="Male"/>
    <n v="76"/>
    <n v="3"/>
    <n v="1"/>
    <x v="1"/>
    <n v="2"/>
    <x v="1"/>
    <n v="2703"/>
    <n v="4956"/>
    <n v="0"/>
    <s v="Y"/>
    <x v="1"/>
    <n v="23"/>
    <n v="4"/>
    <n v="4"/>
    <n v="80"/>
    <n v="1"/>
    <n v="6"/>
    <n v="3"/>
    <x v="1"/>
    <n v="5"/>
    <n v="4"/>
    <n v="0"/>
    <n v="4"/>
    <x v="1"/>
    <x v="1"/>
  </r>
  <r>
    <n v="31"/>
    <x v="1"/>
    <x v="0"/>
    <n v="1082"/>
    <x v="1"/>
    <n v="1"/>
    <n v="4"/>
    <s v="Medical"/>
    <n v="1"/>
    <n v="95"/>
    <n v="3"/>
    <s v="Male"/>
    <n v="87"/>
    <n v="3"/>
    <n v="1"/>
    <x v="1"/>
    <n v="2"/>
    <x v="0"/>
    <n v="2501"/>
    <n v="18775"/>
    <n v="1"/>
    <s v="Y"/>
    <x v="1"/>
    <n v="17"/>
    <n v="3"/>
    <n v="2"/>
    <n v="80"/>
    <n v="0"/>
    <n v="1"/>
    <n v="4"/>
    <x v="1"/>
    <n v="1"/>
    <n v="1"/>
    <n v="1"/>
    <n v="0"/>
    <x v="0"/>
    <x v="1"/>
  </r>
  <r>
    <n v="32"/>
    <x v="1"/>
    <x v="0"/>
    <n v="548"/>
    <x v="1"/>
    <n v="1"/>
    <n v="3"/>
    <s v="Life Sciences"/>
    <n v="1"/>
    <n v="96"/>
    <n v="2"/>
    <s v="Male"/>
    <n v="66"/>
    <n v="3"/>
    <n v="2"/>
    <x v="1"/>
    <n v="2"/>
    <x v="1"/>
    <n v="6220"/>
    <n v="7346"/>
    <n v="1"/>
    <s v="Y"/>
    <x v="1"/>
    <n v="17"/>
    <n v="3"/>
    <n v="2"/>
    <n v="80"/>
    <n v="2"/>
    <n v="10"/>
    <n v="3"/>
    <x v="1"/>
    <n v="10"/>
    <n v="4"/>
    <n v="0"/>
    <n v="9"/>
    <x v="0"/>
    <x v="1"/>
  </r>
  <r>
    <n v="36"/>
    <x v="1"/>
    <x v="0"/>
    <n v="132"/>
    <x v="1"/>
    <n v="6"/>
    <n v="3"/>
    <s v="Life Sciences"/>
    <n v="1"/>
    <n v="97"/>
    <n v="2"/>
    <s v="Female"/>
    <n v="55"/>
    <n v="4"/>
    <n v="1"/>
    <x v="2"/>
    <n v="4"/>
    <x v="1"/>
    <n v="3038"/>
    <n v="22002"/>
    <n v="3"/>
    <s v="Y"/>
    <x v="1"/>
    <n v="12"/>
    <n v="3"/>
    <n v="2"/>
    <n v="80"/>
    <n v="0"/>
    <n v="5"/>
    <n v="3"/>
    <x v="1"/>
    <n v="1"/>
    <n v="0"/>
    <n v="0"/>
    <n v="0"/>
    <x v="0"/>
    <x v="1"/>
  </r>
  <r>
    <n v="31"/>
    <x v="1"/>
    <x v="0"/>
    <n v="746"/>
    <x v="1"/>
    <n v="8"/>
    <n v="4"/>
    <s v="Life Sciences"/>
    <n v="1"/>
    <n v="98"/>
    <n v="3"/>
    <s v="Female"/>
    <n v="61"/>
    <n v="3"/>
    <n v="2"/>
    <x v="3"/>
    <n v="4"/>
    <x v="0"/>
    <n v="4424"/>
    <n v="20682"/>
    <n v="1"/>
    <s v="Y"/>
    <x v="1"/>
    <n v="23"/>
    <n v="4"/>
    <n v="4"/>
    <n v="80"/>
    <n v="0"/>
    <n v="11"/>
    <n v="2"/>
    <x v="1"/>
    <n v="11"/>
    <n v="7"/>
    <n v="1"/>
    <n v="8"/>
    <x v="0"/>
    <x v="1"/>
  </r>
  <r>
    <n v="35"/>
    <x v="1"/>
    <x v="0"/>
    <n v="776"/>
    <x v="0"/>
    <n v="1"/>
    <n v="4"/>
    <s v="Marketing"/>
    <n v="1"/>
    <n v="100"/>
    <n v="3"/>
    <s v="Male"/>
    <n v="32"/>
    <n v="2"/>
    <n v="2"/>
    <x v="0"/>
    <n v="1"/>
    <x v="0"/>
    <n v="4312"/>
    <n v="23016"/>
    <n v="0"/>
    <s v="Y"/>
    <x v="1"/>
    <n v="14"/>
    <n v="3"/>
    <n v="2"/>
    <n v="80"/>
    <n v="0"/>
    <n v="16"/>
    <n v="2"/>
    <x v="1"/>
    <n v="15"/>
    <n v="13"/>
    <n v="2"/>
    <n v="8"/>
    <x v="0"/>
    <x v="1"/>
  </r>
  <r>
    <n v="45"/>
    <x v="1"/>
    <x v="0"/>
    <n v="193"/>
    <x v="1"/>
    <n v="6"/>
    <n v="4"/>
    <s v="Other"/>
    <n v="1"/>
    <n v="101"/>
    <n v="4"/>
    <s v="Male"/>
    <n v="52"/>
    <n v="3"/>
    <n v="3"/>
    <x v="7"/>
    <n v="1"/>
    <x v="1"/>
    <n v="13245"/>
    <n v="15067"/>
    <n v="4"/>
    <s v="Y"/>
    <x v="0"/>
    <n v="14"/>
    <n v="3"/>
    <n v="2"/>
    <n v="80"/>
    <n v="0"/>
    <n v="17"/>
    <n v="3"/>
    <x v="3"/>
    <n v="0"/>
    <n v="0"/>
    <n v="0"/>
    <n v="0"/>
    <x v="0"/>
    <x v="3"/>
  </r>
  <r>
    <n v="37"/>
    <x v="1"/>
    <x v="0"/>
    <n v="397"/>
    <x v="1"/>
    <n v="7"/>
    <n v="4"/>
    <s v="Medical"/>
    <n v="1"/>
    <n v="102"/>
    <n v="1"/>
    <s v="Male"/>
    <n v="30"/>
    <n v="3"/>
    <n v="3"/>
    <x v="7"/>
    <n v="3"/>
    <x v="0"/>
    <n v="13664"/>
    <n v="25258"/>
    <n v="4"/>
    <s v="Y"/>
    <x v="1"/>
    <n v="13"/>
    <n v="3"/>
    <n v="1"/>
    <n v="80"/>
    <n v="0"/>
    <n v="16"/>
    <n v="3"/>
    <x v="3"/>
    <n v="5"/>
    <n v="2"/>
    <n v="0"/>
    <n v="2"/>
    <x v="0"/>
    <x v="3"/>
  </r>
  <r>
    <n v="46"/>
    <x v="1"/>
    <x v="0"/>
    <n v="945"/>
    <x v="2"/>
    <n v="5"/>
    <n v="2"/>
    <s v="Medical"/>
    <n v="1"/>
    <n v="103"/>
    <n v="2"/>
    <s v="Male"/>
    <n v="80"/>
    <n v="3"/>
    <n v="2"/>
    <x v="8"/>
    <n v="2"/>
    <x v="2"/>
    <n v="5021"/>
    <n v="10425"/>
    <n v="8"/>
    <s v="Y"/>
    <x v="0"/>
    <n v="22"/>
    <n v="4"/>
    <n v="4"/>
    <n v="80"/>
    <n v="1"/>
    <n v="16"/>
    <n v="2"/>
    <x v="1"/>
    <n v="4"/>
    <n v="2"/>
    <n v="0"/>
    <n v="2"/>
    <x v="0"/>
    <x v="1"/>
  </r>
  <r>
    <n v="30"/>
    <x v="1"/>
    <x v="0"/>
    <n v="852"/>
    <x v="1"/>
    <n v="1"/>
    <n v="1"/>
    <s v="Life Sciences"/>
    <n v="1"/>
    <n v="104"/>
    <n v="4"/>
    <s v="Male"/>
    <n v="55"/>
    <n v="2"/>
    <n v="2"/>
    <x v="2"/>
    <n v="4"/>
    <x v="1"/>
    <n v="5126"/>
    <n v="15998"/>
    <n v="1"/>
    <s v="Y"/>
    <x v="0"/>
    <n v="12"/>
    <n v="3"/>
    <n v="3"/>
    <n v="80"/>
    <n v="2"/>
    <n v="10"/>
    <n v="1"/>
    <x v="2"/>
    <n v="10"/>
    <n v="8"/>
    <n v="3"/>
    <n v="0"/>
    <x v="1"/>
    <x v="2"/>
  </r>
  <r>
    <n v="35"/>
    <x v="1"/>
    <x v="0"/>
    <n v="1214"/>
    <x v="1"/>
    <n v="1"/>
    <n v="3"/>
    <s v="Medical"/>
    <n v="1"/>
    <n v="105"/>
    <n v="2"/>
    <s v="Male"/>
    <n v="30"/>
    <n v="2"/>
    <n v="1"/>
    <x v="1"/>
    <n v="3"/>
    <x v="0"/>
    <n v="2859"/>
    <n v="26278"/>
    <n v="1"/>
    <s v="Y"/>
    <x v="1"/>
    <n v="18"/>
    <n v="3"/>
    <n v="1"/>
    <n v="80"/>
    <n v="0"/>
    <n v="6"/>
    <n v="3"/>
    <x v="1"/>
    <n v="6"/>
    <n v="4"/>
    <n v="0"/>
    <n v="4"/>
    <x v="0"/>
    <x v="1"/>
  </r>
  <r>
    <n v="55"/>
    <x v="1"/>
    <x v="0"/>
    <n v="111"/>
    <x v="0"/>
    <n v="1"/>
    <n v="2"/>
    <s v="Life Sciences"/>
    <n v="1"/>
    <n v="106"/>
    <n v="1"/>
    <s v="Male"/>
    <n v="70"/>
    <n v="3"/>
    <n v="3"/>
    <x v="0"/>
    <n v="4"/>
    <x v="1"/>
    <n v="10239"/>
    <n v="18092"/>
    <n v="3"/>
    <s v="Y"/>
    <x v="1"/>
    <n v="14"/>
    <n v="3"/>
    <n v="4"/>
    <n v="80"/>
    <n v="1"/>
    <n v="24"/>
    <n v="4"/>
    <x v="1"/>
    <n v="1"/>
    <n v="0"/>
    <n v="1"/>
    <n v="0"/>
    <x v="2"/>
    <x v="1"/>
  </r>
  <r>
    <n v="38"/>
    <x v="1"/>
    <x v="2"/>
    <n v="573"/>
    <x v="1"/>
    <n v="6"/>
    <n v="3"/>
    <s v="Medical"/>
    <n v="1"/>
    <n v="107"/>
    <n v="2"/>
    <s v="Female"/>
    <n v="79"/>
    <n v="1"/>
    <n v="2"/>
    <x v="1"/>
    <n v="4"/>
    <x v="2"/>
    <n v="5329"/>
    <n v="15717"/>
    <n v="7"/>
    <s v="Y"/>
    <x v="0"/>
    <n v="12"/>
    <n v="3"/>
    <n v="4"/>
    <n v="80"/>
    <n v="3"/>
    <n v="17"/>
    <n v="3"/>
    <x v="1"/>
    <n v="13"/>
    <n v="11"/>
    <n v="1"/>
    <n v="9"/>
    <x v="0"/>
    <x v="1"/>
  </r>
  <r>
    <n v="34"/>
    <x v="1"/>
    <x v="0"/>
    <n v="1153"/>
    <x v="1"/>
    <n v="1"/>
    <n v="2"/>
    <s v="Medical"/>
    <n v="1"/>
    <n v="110"/>
    <n v="1"/>
    <s v="Male"/>
    <n v="94"/>
    <n v="3"/>
    <n v="2"/>
    <x v="3"/>
    <n v="2"/>
    <x v="1"/>
    <n v="4325"/>
    <n v="17736"/>
    <n v="1"/>
    <s v="Y"/>
    <x v="1"/>
    <n v="15"/>
    <n v="3"/>
    <n v="3"/>
    <n v="80"/>
    <n v="0"/>
    <n v="5"/>
    <n v="2"/>
    <x v="1"/>
    <n v="5"/>
    <n v="2"/>
    <n v="1"/>
    <n v="3"/>
    <x v="0"/>
    <x v="1"/>
  </r>
  <r>
    <n v="56"/>
    <x v="1"/>
    <x v="0"/>
    <n v="1400"/>
    <x v="1"/>
    <n v="7"/>
    <n v="3"/>
    <s v="Life Sciences"/>
    <n v="1"/>
    <n v="112"/>
    <n v="4"/>
    <s v="Male"/>
    <n v="49"/>
    <n v="1"/>
    <n v="3"/>
    <x v="3"/>
    <n v="4"/>
    <x v="0"/>
    <n v="7260"/>
    <n v="21698"/>
    <n v="4"/>
    <s v="Y"/>
    <x v="1"/>
    <n v="11"/>
    <n v="3"/>
    <n v="1"/>
    <n v="80"/>
    <n v="0"/>
    <n v="37"/>
    <n v="3"/>
    <x v="2"/>
    <n v="6"/>
    <n v="4"/>
    <n v="0"/>
    <n v="2"/>
    <x v="2"/>
    <x v="2"/>
  </r>
  <r>
    <n v="23"/>
    <x v="1"/>
    <x v="0"/>
    <n v="541"/>
    <x v="0"/>
    <n v="2"/>
    <n v="1"/>
    <s v="Technical Degree"/>
    <n v="1"/>
    <n v="113"/>
    <n v="3"/>
    <s v="Male"/>
    <n v="62"/>
    <n v="3"/>
    <n v="1"/>
    <x v="6"/>
    <n v="1"/>
    <x v="2"/>
    <n v="2322"/>
    <n v="9518"/>
    <n v="3"/>
    <s v="Y"/>
    <x v="1"/>
    <n v="13"/>
    <n v="3"/>
    <n v="3"/>
    <n v="80"/>
    <n v="1"/>
    <n v="3"/>
    <n v="3"/>
    <x v="1"/>
    <n v="0"/>
    <n v="0"/>
    <n v="0"/>
    <n v="0"/>
    <x v="1"/>
    <x v="1"/>
  </r>
  <r>
    <n v="51"/>
    <x v="1"/>
    <x v="0"/>
    <n v="432"/>
    <x v="1"/>
    <n v="9"/>
    <n v="4"/>
    <s v="Life Sciences"/>
    <n v="1"/>
    <n v="116"/>
    <n v="4"/>
    <s v="Male"/>
    <n v="96"/>
    <n v="3"/>
    <n v="1"/>
    <x v="2"/>
    <n v="4"/>
    <x v="1"/>
    <n v="2075"/>
    <n v="18725"/>
    <n v="3"/>
    <s v="Y"/>
    <x v="1"/>
    <n v="23"/>
    <n v="4"/>
    <n v="2"/>
    <n v="80"/>
    <n v="2"/>
    <n v="10"/>
    <n v="4"/>
    <x v="1"/>
    <n v="4"/>
    <n v="2"/>
    <n v="0"/>
    <n v="3"/>
    <x v="2"/>
    <x v="1"/>
  </r>
  <r>
    <n v="30"/>
    <x v="1"/>
    <x v="0"/>
    <n v="288"/>
    <x v="1"/>
    <n v="2"/>
    <n v="3"/>
    <s v="Life Sciences"/>
    <n v="1"/>
    <n v="117"/>
    <n v="3"/>
    <s v="Male"/>
    <n v="99"/>
    <n v="2"/>
    <n v="2"/>
    <x v="4"/>
    <n v="4"/>
    <x v="1"/>
    <n v="4152"/>
    <n v="15830"/>
    <n v="1"/>
    <s v="Y"/>
    <x v="1"/>
    <n v="19"/>
    <n v="3"/>
    <n v="1"/>
    <n v="80"/>
    <n v="3"/>
    <n v="11"/>
    <n v="3"/>
    <x v="1"/>
    <n v="11"/>
    <n v="10"/>
    <n v="10"/>
    <n v="8"/>
    <x v="1"/>
    <x v="1"/>
  </r>
  <r>
    <n v="46"/>
    <x v="0"/>
    <x v="0"/>
    <n v="669"/>
    <x v="0"/>
    <n v="9"/>
    <n v="2"/>
    <s v="Medical"/>
    <n v="1"/>
    <n v="118"/>
    <n v="3"/>
    <s v="Male"/>
    <n v="64"/>
    <n v="2"/>
    <n v="3"/>
    <x v="0"/>
    <n v="4"/>
    <x v="0"/>
    <n v="9619"/>
    <n v="13596"/>
    <n v="1"/>
    <s v="Y"/>
    <x v="1"/>
    <n v="16"/>
    <n v="3"/>
    <n v="4"/>
    <n v="80"/>
    <n v="0"/>
    <n v="9"/>
    <n v="3"/>
    <x v="1"/>
    <n v="9"/>
    <n v="8"/>
    <n v="4"/>
    <n v="7"/>
    <x v="0"/>
    <x v="1"/>
  </r>
  <r>
    <n v="40"/>
    <x v="1"/>
    <x v="1"/>
    <n v="530"/>
    <x v="1"/>
    <n v="1"/>
    <n v="4"/>
    <s v="Life Sciences"/>
    <n v="1"/>
    <n v="119"/>
    <n v="3"/>
    <s v="Male"/>
    <n v="78"/>
    <n v="2"/>
    <n v="4"/>
    <x v="4"/>
    <n v="2"/>
    <x v="1"/>
    <n v="13503"/>
    <n v="14115"/>
    <n v="1"/>
    <s v="Y"/>
    <x v="1"/>
    <n v="22"/>
    <n v="4"/>
    <n v="4"/>
    <n v="80"/>
    <n v="1"/>
    <n v="22"/>
    <n v="3"/>
    <x v="2"/>
    <n v="22"/>
    <n v="3"/>
    <n v="11"/>
    <n v="11"/>
    <x v="0"/>
    <x v="2"/>
  </r>
  <r>
    <n v="51"/>
    <x v="1"/>
    <x v="0"/>
    <n v="632"/>
    <x v="0"/>
    <n v="21"/>
    <n v="4"/>
    <s v="Marketing"/>
    <n v="1"/>
    <n v="120"/>
    <n v="3"/>
    <s v="Male"/>
    <n v="71"/>
    <n v="3"/>
    <n v="2"/>
    <x v="0"/>
    <n v="4"/>
    <x v="0"/>
    <n v="5441"/>
    <n v="8423"/>
    <n v="0"/>
    <s v="Y"/>
    <x v="0"/>
    <n v="22"/>
    <n v="4"/>
    <n v="4"/>
    <n v="80"/>
    <n v="0"/>
    <n v="11"/>
    <n v="2"/>
    <x v="0"/>
    <n v="10"/>
    <n v="7"/>
    <n v="1"/>
    <n v="0"/>
    <x v="2"/>
    <x v="0"/>
  </r>
  <r>
    <n v="30"/>
    <x v="1"/>
    <x v="0"/>
    <n v="1334"/>
    <x v="0"/>
    <n v="4"/>
    <n v="2"/>
    <s v="Medical"/>
    <n v="1"/>
    <n v="121"/>
    <n v="3"/>
    <s v="Female"/>
    <n v="63"/>
    <n v="2"/>
    <n v="2"/>
    <x v="0"/>
    <n v="2"/>
    <x v="2"/>
    <n v="5209"/>
    <n v="19760"/>
    <n v="1"/>
    <s v="Y"/>
    <x v="0"/>
    <n v="12"/>
    <n v="3"/>
    <n v="2"/>
    <n v="80"/>
    <n v="3"/>
    <n v="11"/>
    <n v="4"/>
    <x v="2"/>
    <n v="11"/>
    <n v="8"/>
    <n v="2"/>
    <n v="7"/>
    <x v="1"/>
    <x v="2"/>
  </r>
  <r>
    <n v="46"/>
    <x v="1"/>
    <x v="1"/>
    <n v="638"/>
    <x v="1"/>
    <n v="1"/>
    <n v="3"/>
    <s v="Medical"/>
    <n v="1"/>
    <n v="124"/>
    <n v="3"/>
    <s v="Male"/>
    <n v="40"/>
    <n v="2"/>
    <n v="3"/>
    <x v="4"/>
    <n v="1"/>
    <x v="1"/>
    <n v="10673"/>
    <n v="3142"/>
    <n v="2"/>
    <s v="Y"/>
    <x v="0"/>
    <n v="13"/>
    <n v="3"/>
    <n v="3"/>
    <n v="80"/>
    <n v="1"/>
    <n v="21"/>
    <n v="5"/>
    <x v="2"/>
    <n v="10"/>
    <n v="9"/>
    <n v="9"/>
    <n v="5"/>
    <x v="0"/>
    <x v="2"/>
  </r>
  <r>
    <n v="32"/>
    <x v="1"/>
    <x v="0"/>
    <n v="1093"/>
    <x v="0"/>
    <n v="6"/>
    <n v="4"/>
    <s v="Medical"/>
    <n v="1"/>
    <n v="125"/>
    <n v="2"/>
    <s v="Male"/>
    <n v="87"/>
    <n v="3"/>
    <n v="2"/>
    <x v="0"/>
    <n v="3"/>
    <x v="0"/>
    <n v="5010"/>
    <n v="24301"/>
    <n v="1"/>
    <s v="Y"/>
    <x v="1"/>
    <n v="16"/>
    <n v="3"/>
    <n v="1"/>
    <n v="80"/>
    <n v="0"/>
    <n v="12"/>
    <n v="0"/>
    <x v="1"/>
    <n v="11"/>
    <n v="8"/>
    <n v="5"/>
    <n v="7"/>
    <x v="0"/>
    <x v="1"/>
  </r>
  <r>
    <n v="54"/>
    <x v="1"/>
    <x v="0"/>
    <n v="1217"/>
    <x v="1"/>
    <n v="2"/>
    <n v="4"/>
    <s v="Technical Degree"/>
    <n v="1"/>
    <n v="126"/>
    <n v="1"/>
    <s v="Female"/>
    <n v="60"/>
    <n v="3"/>
    <n v="3"/>
    <x v="7"/>
    <n v="3"/>
    <x v="1"/>
    <n v="13549"/>
    <n v="24001"/>
    <n v="9"/>
    <s v="Y"/>
    <x v="1"/>
    <n v="12"/>
    <n v="3"/>
    <n v="1"/>
    <n v="80"/>
    <n v="1"/>
    <n v="16"/>
    <n v="5"/>
    <x v="0"/>
    <n v="4"/>
    <n v="3"/>
    <n v="0"/>
    <n v="3"/>
    <x v="2"/>
    <x v="0"/>
  </r>
  <r>
    <n v="24"/>
    <x v="1"/>
    <x v="0"/>
    <n v="1353"/>
    <x v="0"/>
    <n v="3"/>
    <n v="2"/>
    <s v="Other"/>
    <n v="1"/>
    <n v="128"/>
    <n v="1"/>
    <s v="Female"/>
    <n v="33"/>
    <n v="3"/>
    <n v="2"/>
    <x v="0"/>
    <n v="3"/>
    <x v="1"/>
    <n v="4999"/>
    <n v="17519"/>
    <n v="0"/>
    <s v="Y"/>
    <x v="1"/>
    <n v="21"/>
    <n v="4"/>
    <n v="1"/>
    <n v="80"/>
    <n v="1"/>
    <n v="4"/>
    <n v="2"/>
    <x v="2"/>
    <n v="3"/>
    <n v="2"/>
    <n v="0"/>
    <n v="2"/>
    <x v="1"/>
    <x v="2"/>
  </r>
  <r>
    <n v="28"/>
    <x v="1"/>
    <x v="2"/>
    <n v="120"/>
    <x v="0"/>
    <n v="4"/>
    <n v="3"/>
    <s v="Medical"/>
    <n v="1"/>
    <n v="129"/>
    <n v="2"/>
    <s v="Male"/>
    <n v="43"/>
    <n v="3"/>
    <n v="2"/>
    <x v="0"/>
    <n v="3"/>
    <x v="1"/>
    <n v="4221"/>
    <n v="8863"/>
    <n v="1"/>
    <s v="Y"/>
    <x v="1"/>
    <n v="15"/>
    <n v="3"/>
    <n v="2"/>
    <n v="80"/>
    <n v="0"/>
    <n v="5"/>
    <n v="3"/>
    <x v="3"/>
    <n v="5"/>
    <n v="4"/>
    <n v="0"/>
    <n v="4"/>
    <x v="1"/>
    <x v="3"/>
  </r>
  <r>
    <n v="58"/>
    <x v="1"/>
    <x v="0"/>
    <n v="682"/>
    <x v="0"/>
    <n v="10"/>
    <n v="4"/>
    <s v="Medical"/>
    <n v="1"/>
    <n v="131"/>
    <n v="4"/>
    <s v="Male"/>
    <n v="37"/>
    <n v="3"/>
    <n v="4"/>
    <x v="0"/>
    <n v="3"/>
    <x v="0"/>
    <n v="13872"/>
    <n v="24409"/>
    <n v="0"/>
    <s v="Y"/>
    <x v="1"/>
    <n v="13"/>
    <n v="3"/>
    <n v="3"/>
    <n v="80"/>
    <n v="0"/>
    <n v="38"/>
    <n v="1"/>
    <x v="2"/>
    <n v="37"/>
    <n v="10"/>
    <n v="1"/>
    <n v="8"/>
    <x v="2"/>
    <x v="2"/>
  </r>
  <r>
    <n v="44"/>
    <x v="1"/>
    <x v="2"/>
    <n v="489"/>
    <x v="1"/>
    <n v="23"/>
    <n v="3"/>
    <s v="Medical"/>
    <n v="1"/>
    <n v="132"/>
    <n v="2"/>
    <s v="Male"/>
    <n v="67"/>
    <n v="3"/>
    <n v="2"/>
    <x v="2"/>
    <n v="2"/>
    <x v="1"/>
    <n v="2042"/>
    <n v="25043"/>
    <n v="4"/>
    <s v="Y"/>
    <x v="1"/>
    <n v="12"/>
    <n v="3"/>
    <n v="3"/>
    <n v="80"/>
    <n v="1"/>
    <n v="17"/>
    <n v="3"/>
    <x v="3"/>
    <n v="3"/>
    <n v="2"/>
    <n v="1"/>
    <n v="2"/>
    <x v="0"/>
    <x v="3"/>
  </r>
  <r>
    <n v="37"/>
    <x v="0"/>
    <x v="0"/>
    <n v="807"/>
    <x v="2"/>
    <n v="6"/>
    <n v="4"/>
    <s v="Human Resources"/>
    <n v="1"/>
    <n v="133"/>
    <n v="3"/>
    <s v="Male"/>
    <n v="63"/>
    <n v="3"/>
    <n v="1"/>
    <x v="8"/>
    <n v="1"/>
    <x v="2"/>
    <n v="2073"/>
    <n v="23648"/>
    <n v="4"/>
    <s v="Y"/>
    <x v="0"/>
    <n v="22"/>
    <n v="4"/>
    <n v="4"/>
    <n v="80"/>
    <n v="0"/>
    <n v="7"/>
    <n v="3"/>
    <x v="1"/>
    <n v="3"/>
    <n v="2"/>
    <n v="0"/>
    <n v="2"/>
    <x v="0"/>
    <x v="1"/>
  </r>
  <r>
    <n v="32"/>
    <x v="1"/>
    <x v="0"/>
    <n v="827"/>
    <x v="1"/>
    <n v="1"/>
    <n v="1"/>
    <s v="Life Sciences"/>
    <n v="1"/>
    <n v="134"/>
    <n v="4"/>
    <s v="Male"/>
    <n v="71"/>
    <n v="3"/>
    <n v="1"/>
    <x v="1"/>
    <n v="1"/>
    <x v="0"/>
    <n v="2956"/>
    <n v="15178"/>
    <n v="1"/>
    <s v="Y"/>
    <x v="1"/>
    <n v="13"/>
    <n v="3"/>
    <n v="4"/>
    <n v="80"/>
    <n v="0"/>
    <n v="1"/>
    <n v="2"/>
    <x v="1"/>
    <n v="1"/>
    <n v="0"/>
    <n v="0"/>
    <n v="0"/>
    <x v="0"/>
    <x v="1"/>
  </r>
  <r>
    <n v="20"/>
    <x v="0"/>
    <x v="1"/>
    <n v="871"/>
    <x v="1"/>
    <n v="6"/>
    <n v="3"/>
    <s v="Life Sciences"/>
    <n v="1"/>
    <n v="137"/>
    <n v="4"/>
    <s v="Female"/>
    <n v="66"/>
    <n v="2"/>
    <n v="1"/>
    <x v="2"/>
    <n v="4"/>
    <x v="0"/>
    <n v="2926"/>
    <n v="19783"/>
    <n v="1"/>
    <s v="Y"/>
    <x v="0"/>
    <n v="18"/>
    <n v="3"/>
    <n v="2"/>
    <n v="80"/>
    <n v="0"/>
    <n v="1"/>
    <n v="5"/>
    <x v="1"/>
    <n v="1"/>
    <n v="0"/>
    <n v="1"/>
    <n v="0"/>
    <x v="1"/>
    <x v="1"/>
  </r>
  <r>
    <n v="34"/>
    <x v="1"/>
    <x v="0"/>
    <n v="665"/>
    <x v="1"/>
    <n v="6"/>
    <n v="4"/>
    <s v="Other"/>
    <n v="1"/>
    <n v="138"/>
    <n v="1"/>
    <s v="Female"/>
    <n v="41"/>
    <n v="3"/>
    <n v="2"/>
    <x v="1"/>
    <n v="3"/>
    <x v="0"/>
    <n v="4809"/>
    <n v="12482"/>
    <n v="1"/>
    <s v="Y"/>
    <x v="1"/>
    <n v="14"/>
    <n v="3"/>
    <n v="3"/>
    <n v="80"/>
    <n v="0"/>
    <n v="16"/>
    <n v="3"/>
    <x v="1"/>
    <n v="16"/>
    <n v="13"/>
    <n v="2"/>
    <n v="10"/>
    <x v="0"/>
    <x v="1"/>
  </r>
  <r>
    <n v="37"/>
    <x v="1"/>
    <x v="2"/>
    <n v="1040"/>
    <x v="1"/>
    <n v="2"/>
    <n v="2"/>
    <s v="Life Sciences"/>
    <n v="1"/>
    <n v="139"/>
    <n v="3"/>
    <s v="Male"/>
    <n v="100"/>
    <n v="2"/>
    <n v="2"/>
    <x v="4"/>
    <n v="4"/>
    <x v="2"/>
    <n v="5163"/>
    <n v="15850"/>
    <n v="5"/>
    <s v="Y"/>
    <x v="1"/>
    <n v="14"/>
    <n v="3"/>
    <n v="4"/>
    <n v="80"/>
    <n v="1"/>
    <n v="17"/>
    <n v="2"/>
    <x v="3"/>
    <n v="1"/>
    <n v="0"/>
    <n v="0"/>
    <n v="0"/>
    <x v="0"/>
    <x v="3"/>
  </r>
  <r>
    <n v="59"/>
    <x v="1"/>
    <x v="2"/>
    <n v="1420"/>
    <x v="2"/>
    <n v="2"/>
    <n v="4"/>
    <s v="Human Resources"/>
    <n v="1"/>
    <n v="140"/>
    <n v="3"/>
    <s v="Female"/>
    <n v="32"/>
    <n v="2"/>
    <n v="5"/>
    <x v="5"/>
    <n v="4"/>
    <x v="1"/>
    <n v="18844"/>
    <n v="21922"/>
    <n v="9"/>
    <s v="Y"/>
    <x v="1"/>
    <n v="21"/>
    <n v="4"/>
    <n v="4"/>
    <n v="80"/>
    <n v="1"/>
    <n v="30"/>
    <n v="3"/>
    <x v="1"/>
    <n v="3"/>
    <n v="2"/>
    <n v="2"/>
    <n v="2"/>
    <x v="2"/>
    <x v="1"/>
  </r>
  <r>
    <n v="50"/>
    <x v="1"/>
    <x v="1"/>
    <n v="1115"/>
    <x v="1"/>
    <n v="1"/>
    <n v="3"/>
    <s v="Life Sciences"/>
    <n v="1"/>
    <n v="141"/>
    <n v="1"/>
    <s v="Female"/>
    <n v="73"/>
    <n v="3"/>
    <n v="5"/>
    <x v="7"/>
    <n v="2"/>
    <x v="1"/>
    <n v="18172"/>
    <n v="9755"/>
    <n v="3"/>
    <s v="Y"/>
    <x v="0"/>
    <n v="19"/>
    <n v="3"/>
    <n v="1"/>
    <n v="80"/>
    <n v="0"/>
    <n v="28"/>
    <n v="1"/>
    <x v="2"/>
    <n v="8"/>
    <n v="3"/>
    <n v="0"/>
    <n v="7"/>
    <x v="0"/>
    <x v="2"/>
  </r>
  <r>
    <n v="25"/>
    <x v="0"/>
    <x v="0"/>
    <n v="240"/>
    <x v="0"/>
    <n v="5"/>
    <n v="3"/>
    <s v="Marketing"/>
    <n v="1"/>
    <n v="142"/>
    <n v="3"/>
    <s v="Male"/>
    <n v="46"/>
    <n v="2"/>
    <n v="2"/>
    <x v="0"/>
    <n v="3"/>
    <x v="0"/>
    <n v="5744"/>
    <n v="26959"/>
    <n v="1"/>
    <s v="Y"/>
    <x v="0"/>
    <n v="11"/>
    <n v="3"/>
    <n v="4"/>
    <n v="80"/>
    <n v="0"/>
    <n v="6"/>
    <n v="1"/>
    <x v="1"/>
    <n v="6"/>
    <n v="4"/>
    <n v="0"/>
    <n v="3"/>
    <x v="1"/>
    <x v="1"/>
  </r>
  <r>
    <n v="25"/>
    <x v="1"/>
    <x v="0"/>
    <n v="1280"/>
    <x v="1"/>
    <n v="7"/>
    <n v="1"/>
    <s v="Medical"/>
    <n v="1"/>
    <n v="143"/>
    <n v="4"/>
    <s v="Male"/>
    <n v="64"/>
    <n v="2"/>
    <n v="1"/>
    <x v="1"/>
    <n v="4"/>
    <x v="1"/>
    <n v="2889"/>
    <n v="26897"/>
    <n v="1"/>
    <s v="Y"/>
    <x v="1"/>
    <n v="11"/>
    <n v="3"/>
    <n v="3"/>
    <n v="80"/>
    <n v="2"/>
    <n v="2"/>
    <n v="2"/>
    <x v="1"/>
    <n v="2"/>
    <n v="2"/>
    <n v="2"/>
    <n v="1"/>
    <x v="1"/>
    <x v="1"/>
  </r>
  <r>
    <n v="22"/>
    <x v="1"/>
    <x v="0"/>
    <n v="534"/>
    <x v="1"/>
    <n v="15"/>
    <n v="3"/>
    <s v="Medical"/>
    <n v="1"/>
    <n v="144"/>
    <n v="2"/>
    <s v="Female"/>
    <n v="59"/>
    <n v="3"/>
    <n v="1"/>
    <x v="2"/>
    <n v="4"/>
    <x v="0"/>
    <n v="2871"/>
    <n v="23785"/>
    <n v="1"/>
    <s v="Y"/>
    <x v="1"/>
    <n v="15"/>
    <n v="3"/>
    <n v="3"/>
    <n v="80"/>
    <n v="0"/>
    <n v="1"/>
    <n v="5"/>
    <x v="1"/>
    <n v="0"/>
    <n v="0"/>
    <n v="0"/>
    <n v="0"/>
    <x v="1"/>
    <x v="1"/>
  </r>
  <r>
    <n v="51"/>
    <x v="1"/>
    <x v="1"/>
    <n v="1456"/>
    <x v="1"/>
    <n v="1"/>
    <n v="4"/>
    <s v="Medical"/>
    <n v="1"/>
    <n v="145"/>
    <n v="1"/>
    <s v="Female"/>
    <n v="30"/>
    <n v="2"/>
    <n v="3"/>
    <x v="4"/>
    <n v="1"/>
    <x v="0"/>
    <n v="7484"/>
    <n v="25796"/>
    <n v="3"/>
    <s v="Y"/>
    <x v="1"/>
    <n v="20"/>
    <n v="4"/>
    <n v="3"/>
    <n v="80"/>
    <n v="0"/>
    <n v="23"/>
    <n v="1"/>
    <x v="2"/>
    <n v="13"/>
    <n v="12"/>
    <n v="12"/>
    <n v="8"/>
    <x v="2"/>
    <x v="2"/>
  </r>
  <r>
    <n v="34"/>
    <x v="0"/>
    <x v="1"/>
    <n v="658"/>
    <x v="1"/>
    <n v="7"/>
    <n v="3"/>
    <s v="Life Sciences"/>
    <n v="1"/>
    <n v="147"/>
    <n v="1"/>
    <s v="Male"/>
    <n v="66"/>
    <n v="1"/>
    <n v="2"/>
    <x v="2"/>
    <n v="3"/>
    <x v="0"/>
    <n v="6074"/>
    <n v="22887"/>
    <n v="1"/>
    <s v="Y"/>
    <x v="0"/>
    <n v="24"/>
    <n v="4"/>
    <n v="4"/>
    <n v="80"/>
    <n v="0"/>
    <n v="9"/>
    <n v="3"/>
    <x v="1"/>
    <n v="9"/>
    <n v="7"/>
    <n v="0"/>
    <n v="6"/>
    <x v="0"/>
    <x v="1"/>
  </r>
  <r>
    <n v="54"/>
    <x v="1"/>
    <x v="2"/>
    <n v="142"/>
    <x v="2"/>
    <n v="26"/>
    <n v="3"/>
    <s v="Human Resources"/>
    <n v="1"/>
    <n v="148"/>
    <n v="4"/>
    <s v="Female"/>
    <n v="30"/>
    <n v="4"/>
    <n v="4"/>
    <x v="5"/>
    <n v="4"/>
    <x v="0"/>
    <n v="17328"/>
    <n v="13871"/>
    <n v="2"/>
    <s v="Y"/>
    <x v="0"/>
    <n v="12"/>
    <n v="3"/>
    <n v="3"/>
    <n v="80"/>
    <n v="0"/>
    <n v="23"/>
    <n v="3"/>
    <x v="1"/>
    <n v="5"/>
    <n v="3"/>
    <n v="4"/>
    <n v="4"/>
    <x v="2"/>
    <x v="1"/>
  </r>
  <r>
    <n v="24"/>
    <x v="1"/>
    <x v="0"/>
    <n v="1127"/>
    <x v="1"/>
    <n v="18"/>
    <n v="1"/>
    <s v="Life Sciences"/>
    <n v="1"/>
    <n v="150"/>
    <n v="2"/>
    <s v="Male"/>
    <n v="52"/>
    <n v="3"/>
    <n v="1"/>
    <x v="2"/>
    <n v="3"/>
    <x v="1"/>
    <n v="2774"/>
    <n v="13257"/>
    <n v="0"/>
    <s v="Y"/>
    <x v="1"/>
    <n v="12"/>
    <n v="3"/>
    <n v="3"/>
    <n v="80"/>
    <n v="1"/>
    <n v="6"/>
    <n v="2"/>
    <x v="1"/>
    <n v="5"/>
    <n v="3"/>
    <n v="1"/>
    <n v="2"/>
    <x v="1"/>
    <x v="1"/>
  </r>
  <r>
    <n v="34"/>
    <x v="1"/>
    <x v="0"/>
    <n v="1031"/>
    <x v="1"/>
    <n v="6"/>
    <n v="4"/>
    <s v="Life Sciences"/>
    <n v="1"/>
    <n v="151"/>
    <n v="3"/>
    <s v="Female"/>
    <n v="45"/>
    <n v="2"/>
    <n v="2"/>
    <x v="1"/>
    <n v="2"/>
    <x v="2"/>
    <n v="4505"/>
    <n v="15000"/>
    <n v="6"/>
    <s v="Y"/>
    <x v="1"/>
    <n v="15"/>
    <n v="3"/>
    <n v="3"/>
    <n v="80"/>
    <n v="1"/>
    <n v="12"/>
    <n v="3"/>
    <x v="1"/>
    <n v="1"/>
    <n v="0"/>
    <n v="0"/>
    <n v="0"/>
    <x v="0"/>
    <x v="1"/>
  </r>
  <r>
    <n v="37"/>
    <x v="1"/>
    <x v="0"/>
    <n v="1189"/>
    <x v="0"/>
    <n v="3"/>
    <n v="3"/>
    <s v="Life Sciences"/>
    <n v="1"/>
    <n v="152"/>
    <n v="3"/>
    <s v="Male"/>
    <n v="87"/>
    <n v="3"/>
    <n v="3"/>
    <x v="0"/>
    <n v="4"/>
    <x v="0"/>
    <n v="7428"/>
    <n v="14506"/>
    <n v="2"/>
    <s v="Y"/>
    <x v="1"/>
    <n v="12"/>
    <n v="3"/>
    <n v="1"/>
    <n v="80"/>
    <n v="0"/>
    <n v="12"/>
    <n v="3"/>
    <x v="1"/>
    <n v="5"/>
    <n v="3"/>
    <n v="1"/>
    <n v="3"/>
    <x v="0"/>
    <x v="1"/>
  </r>
  <r>
    <n v="34"/>
    <x v="1"/>
    <x v="0"/>
    <n v="1354"/>
    <x v="1"/>
    <n v="5"/>
    <n v="3"/>
    <s v="Medical"/>
    <n v="1"/>
    <n v="153"/>
    <n v="3"/>
    <s v="Female"/>
    <n v="45"/>
    <n v="2"/>
    <n v="3"/>
    <x v="5"/>
    <n v="1"/>
    <x v="0"/>
    <n v="11631"/>
    <n v="5615"/>
    <n v="2"/>
    <s v="Y"/>
    <x v="1"/>
    <n v="12"/>
    <n v="3"/>
    <n v="4"/>
    <n v="80"/>
    <n v="0"/>
    <n v="14"/>
    <n v="6"/>
    <x v="1"/>
    <n v="11"/>
    <n v="10"/>
    <n v="5"/>
    <n v="8"/>
    <x v="0"/>
    <x v="1"/>
  </r>
  <r>
    <n v="36"/>
    <x v="1"/>
    <x v="1"/>
    <n v="1467"/>
    <x v="0"/>
    <n v="11"/>
    <n v="2"/>
    <s v="Technical Degree"/>
    <n v="1"/>
    <n v="154"/>
    <n v="2"/>
    <s v="Female"/>
    <n v="92"/>
    <n v="3"/>
    <n v="3"/>
    <x v="0"/>
    <n v="4"/>
    <x v="1"/>
    <n v="9738"/>
    <n v="22952"/>
    <n v="0"/>
    <s v="Y"/>
    <x v="1"/>
    <n v="14"/>
    <n v="3"/>
    <n v="3"/>
    <n v="80"/>
    <n v="1"/>
    <n v="10"/>
    <n v="6"/>
    <x v="1"/>
    <n v="9"/>
    <n v="7"/>
    <n v="2"/>
    <n v="8"/>
    <x v="0"/>
    <x v="1"/>
  </r>
  <r>
    <n v="36"/>
    <x v="1"/>
    <x v="0"/>
    <n v="922"/>
    <x v="1"/>
    <n v="3"/>
    <n v="2"/>
    <s v="Life Sciences"/>
    <n v="1"/>
    <n v="155"/>
    <n v="1"/>
    <s v="Female"/>
    <n v="39"/>
    <n v="3"/>
    <n v="1"/>
    <x v="2"/>
    <n v="4"/>
    <x v="2"/>
    <n v="2835"/>
    <n v="2561"/>
    <n v="5"/>
    <s v="Y"/>
    <x v="1"/>
    <n v="22"/>
    <n v="4"/>
    <n v="1"/>
    <n v="80"/>
    <n v="1"/>
    <n v="7"/>
    <n v="2"/>
    <x v="1"/>
    <n v="1"/>
    <n v="0"/>
    <n v="0"/>
    <n v="0"/>
    <x v="0"/>
    <x v="1"/>
  </r>
  <r>
    <n v="43"/>
    <x v="1"/>
    <x v="1"/>
    <n v="394"/>
    <x v="0"/>
    <n v="26"/>
    <n v="2"/>
    <s v="Life Sciences"/>
    <n v="1"/>
    <n v="158"/>
    <n v="3"/>
    <s v="Male"/>
    <n v="92"/>
    <n v="3"/>
    <n v="4"/>
    <x v="5"/>
    <n v="4"/>
    <x v="1"/>
    <n v="16959"/>
    <n v="19494"/>
    <n v="1"/>
    <s v="Y"/>
    <x v="0"/>
    <n v="12"/>
    <n v="3"/>
    <n v="4"/>
    <n v="80"/>
    <n v="2"/>
    <n v="25"/>
    <n v="3"/>
    <x v="3"/>
    <n v="25"/>
    <n v="12"/>
    <n v="4"/>
    <n v="12"/>
    <x v="0"/>
    <x v="3"/>
  </r>
  <r>
    <n v="30"/>
    <x v="1"/>
    <x v="1"/>
    <n v="1312"/>
    <x v="1"/>
    <n v="23"/>
    <n v="3"/>
    <s v="Life Sciences"/>
    <n v="1"/>
    <n v="159"/>
    <n v="1"/>
    <s v="Male"/>
    <n v="96"/>
    <n v="1"/>
    <n v="1"/>
    <x v="1"/>
    <n v="3"/>
    <x v="2"/>
    <n v="2613"/>
    <n v="22310"/>
    <n v="1"/>
    <s v="Y"/>
    <x v="1"/>
    <n v="25"/>
    <n v="4"/>
    <n v="3"/>
    <n v="80"/>
    <n v="3"/>
    <n v="10"/>
    <n v="2"/>
    <x v="2"/>
    <n v="10"/>
    <n v="7"/>
    <n v="0"/>
    <n v="9"/>
    <x v="1"/>
    <x v="2"/>
  </r>
  <r>
    <n v="33"/>
    <x v="1"/>
    <x v="2"/>
    <n v="750"/>
    <x v="0"/>
    <n v="22"/>
    <n v="2"/>
    <s v="Marketing"/>
    <n v="1"/>
    <n v="160"/>
    <n v="3"/>
    <s v="Male"/>
    <n v="95"/>
    <n v="3"/>
    <n v="2"/>
    <x v="0"/>
    <n v="2"/>
    <x v="1"/>
    <n v="6146"/>
    <n v="15480"/>
    <n v="0"/>
    <s v="Y"/>
    <x v="1"/>
    <n v="13"/>
    <n v="3"/>
    <n v="1"/>
    <n v="80"/>
    <n v="1"/>
    <n v="8"/>
    <n v="2"/>
    <x v="3"/>
    <n v="7"/>
    <n v="7"/>
    <n v="0"/>
    <n v="7"/>
    <x v="0"/>
    <x v="3"/>
  </r>
  <r>
    <n v="56"/>
    <x v="0"/>
    <x v="0"/>
    <n v="441"/>
    <x v="1"/>
    <n v="14"/>
    <n v="4"/>
    <s v="Life Sciences"/>
    <n v="1"/>
    <n v="161"/>
    <n v="2"/>
    <s v="Female"/>
    <n v="72"/>
    <n v="3"/>
    <n v="1"/>
    <x v="1"/>
    <n v="2"/>
    <x v="1"/>
    <n v="4963"/>
    <n v="4510"/>
    <n v="9"/>
    <s v="Y"/>
    <x v="0"/>
    <n v="18"/>
    <n v="3"/>
    <n v="1"/>
    <n v="80"/>
    <n v="3"/>
    <n v="7"/>
    <n v="2"/>
    <x v="1"/>
    <n v="5"/>
    <n v="4"/>
    <n v="4"/>
    <n v="3"/>
    <x v="2"/>
    <x v="1"/>
  </r>
  <r>
    <n v="51"/>
    <x v="1"/>
    <x v="0"/>
    <n v="684"/>
    <x v="1"/>
    <n v="6"/>
    <n v="3"/>
    <s v="Life Sciences"/>
    <n v="1"/>
    <n v="162"/>
    <n v="1"/>
    <s v="Male"/>
    <n v="51"/>
    <n v="3"/>
    <n v="5"/>
    <x v="7"/>
    <n v="3"/>
    <x v="0"/>
    <n v="19537"/>
    <n v="6462"/>
    <n v="7"/>
    <s v="Y"/>
    <x v="1"/>
    <n v="13"/>
    <n v="3"/>
    <n v="3"/>
    <n v="80"/>
    <n v="0"/>
    <n v="23"/>
    <n v="5"/>
    <x v="1"/>
    <n v="20"/>
    <n v="18"/>
    <n v="15"/>
    <n v="15"/>
    <x v="2"/>
    <x v="1"/>
  </r>
  <r>
    <n v="31"/>
    <x v="0"/>
    <x v="0"/>
    <n v="249"/>
    <x v="0"/>
    <n v="6"/>
    <n v="4"/>
    <s v="Life Sciences"/>
    <n v="1"/>
    <n v="163"/>
    <n v="2"/>
    <s v="Male"/>
    <n v="76"/>
    <n v="1"/>
    <n v="2"/>
    <x v="0"/>
    <n v="3"/>
    <x v="1"/>
    <n v="6172"/>
    <n v="20739"/>
    <n v="4"/>
    <s v="Y"/>
    <x v="0"/>
    <n v="18"/>
    <n v="3"/>
    <n v="2"/>
    <n v="80"/>
    <n v="0"/>
    <n v="12"/>
    <n v="3"/>
    <x v="2"/>
    <n v="7"/>
    <n v="7"/>
    <n v="7"/>
    <n v="7"/>
    <x v="0"/>
    <x v="2"/>
  </r>
  <r>
    <n v="26"/>
    <x v="1"/>
    <x v="0"/>
    <n v="841"/>
    <x v="1"/>
    <n v="6"/>
    <n v="3"/>
    <s v="Other"/>
    <n v="1"/>
    <n v="164"/>
    <n v="3"/>
    <s v="Female"/>
    <n v="46"/>
    <n v="2"/>
    <n v="1"/>
    <x v="1"/>
    <n v="2"/>
    <x v="1"/>
    <n v="2368"/>
    <n v="23300"/>
    <n v="1"/>
    <s v="Y"/>
    <x v="1"/>
    <n v="19"/>
    <n v="3"/>
    <n v="3"/>
    <n v="80"/>
    <n v="0"/>
    <n v="5"/>
    <n v="3"/>
    <x v="2"/>
    <n v="5"/>
    <n v="4"/>
    <n v="4"/>
    <n v="3"/>
    <x v="1"/>
    <x v="2"/>
  </r>
  <r>
    <n v="58"/>
    <x v="0"/>
    <x v="0"/>
    <n v="147"/>
    <x v="1"/>
    <n v="23"/>
    <n v="4"/>
    <s v="Medical"/>
    <n v="1"/>
    <n v="165"/>
    <n v="4"/>
    <s v="Female"/>
    <n v="94"/>
    <n v="3"/>
    <n v="3"/>
    <x v="4"/>
    <n v="4"/>
    <x v="1"/>
    <n v="10312"/>
    <n v="3465"/>
    <n v="1"/>
    <s v="Y"/>
    <x v="1"/>
    <n v="12"/>
    <n v="3"/>
    <n v="4"/>
    <n v="80"/>
    <n v="1"/>
    <n v="40"/>
    <n v="3"/>
    <x v="2"/>
    <n v="40"/>
    <n v="10"/>
    <n v="15"/>
    <n v="6"/>
    <x v="2"/>
    <x v="2"/>
  </r>
  <r>
    <n v="19"/>
    <x v="0"/>
    <x v="0"/>
    <n v="528"/>
    <x v="0"/>
    <n v="22"/>
    <n v="1"/>
    <s v="Marketing"/>
    <n v="1"/>
    <n v="167"/>
    <n v="4"/>
    <s v="Male"/>
    <n v="50"/>
    <n v="3"/>
    <n v="1"/>
    <x v="6"/>
    <n v="3"/>
    <x v="0"/>
    <n v="1675"/>
    <n v="26820"/>
    <n v="1"/>
    <s v="Y"/>
    <x v="0"/>
    <n v="19"/>
    <n v="3"/>
    <n v="4"/>
    <n v="80"/>
    <n v="0"/>
    <n v="0"/>
    <n v="2"/>
    <x v="2"/>
    <n v="0"/>
    <n v="0"/>
    <n v="0"/>
    <n v="0"/>
    <x v="1"/>
    <x v="2"/>
  </r>
  <r>
    <n v="22"/>
    <x v="1"/>
    <x v="0"/>
    <n v="594"/>
    <x v="1"/>
    <n v="2"/>
    <n v="1"/>
    <s v="Technical Degree"/>
    <n v="1"/>
    <n v="169"/>
    <n v="3"/>
    <s v="Male"/>
    <n v="100"/>
    <n v="3"/>
    <n v="1"/>
    <x v="2"/>
    <n v="4"/>
    <x v="1"/>
    <n v="2523"/>
    <n v="19299"/>
    <n v="0"/>
    <s v="Y"/>
    <x v="1"/>
    <n v="14"/>
    <n v="3"/>
    <n v="3"/>
    <n v="80"/>
    <n v="1"/>
    <n v="3"/>
    <n v="2"/>
    <x v="1"/>
    <n v="2"/>
    <n v="1"/>
    <n v="2"/>
    <n v="1"/>
    <x v="1"/>
    <x v="1"/>
  </r>
  <r>
    <n v="49"/>
    <x v="1"/>
    <x v="0"/>
    <n v="470"/>
    <x v="1"/>
    <n v="20"/>
    <n v="4"/>
    <s v="Medical"/>
    <n v="1"/>
    <n v="170"/>
    <n v="3"/>
    <s v="Female"/>
    <n v="96"/>
    <n v="3"/>
    <n v="2"/>
    <x v="3"/>
    <n v="1"/>
    <x v="1"/>
    <n v="6567"/>
    <n v="5549"/>
    <n v="1"/>
    <s v="Y"/>
    <x v="1"/>
    <n v="14"/>
    <n v="3"/>
    <n v="3"/>
    <n v="80"/>
    <n v="0"/>
    <n v="16"/>
    <n v="2"/>
    <x v="2"/>
    <n v="15"/>
    <n v="11"/>
    <n v="5"/>
    <n v="11"/>
    <x v="0"/>
    <x v="2"/>
  </r>
  <r>
    <n v="43"/>
    <x v="1"/>
    <x v="1"/>
    <n v="957"/>
    <x v="1"/>
    <n v="28"/>
    <n v="3"/>
    <s v="Medical"/>
    <n v="1"/>
    <n v="171"/>
    <n v="2"/>
    <s v="Female"/>
    <n v="72"/>
    <n v="4"/>
    <n v="1"/>
    <x v="1"/>
    <n v="3"/>
    <x v="0"/>
    <n v="4739"/>
    <n v="16090"/>
    <n v="4"/>
    <s v="Y"/>
    <x v="1"/>
    <n v="12"/>
    <n v="3"/>
    <n v="4"/>
    <n v="80"/>
    <n v="0"/>
    <n v="18"/>
    <n v="2"/>
    <x v="1"/>
    <n v="3"/>
    <n v="2"/>
    <n v="1"/>
    <n v="2"/>
    <x v="0"/>
    <x v="1"/>
  </r>
  <r>
    <n v="50"/>
    <x v="1"/>
    <x v="1"/>
    <n v="809"/>
    <x v="0"/>
    <n v="12"/>
    <n v="3"/>
    <s v="Marketing"/>
    <n v="1"/>
    <n v="174"/>
    <n v="3"/>
    <s v="Female"/>
    <n v="77"/>
    <n v="3"/>
    <n v="3"/>
    <x v="0"/>
    <n v="4"/>
    <x v="0"/>
    <n v="9208"/>
    <n v="6645"/>
    <n v="4"/>
    <s v="Y"/>
    <x v="1"/>
    <n v="11"/>
    <n v="3"/>
    <n v="4"/>
    <n v="80"/>
    <n v="0"/>
    <n v="16"/>
    <n v="3"/>
    <x v="1"/>
    <n v="2"/>
    <n v="2"/>
    <n v="2"/>
    <n v="1"/>
    <x v="0"/>
    <x v="1"/>
  </r>
  <r>
    <n v="31"/>
    <x v="0"/>
    <x v="0"/>
    <n v="542"/>
    <x v="0"/>
    <n v="20"/>
    <n v="3"/>
    <s v="Life Sciences"/>
    <n v="1"/>
    <n v="175"/>
    <n v="2"/>
    <s v="Female"/>
    <n v="71"/>
    <n v="1"/>
    <n v="2"/>
    <x v="0"/>
    <n v="3"/>
    <x v="1"/>
    <n v="4559"/>
    <n v="24788"/>
    <n v="3"/>
    <s v="Y"/>
    <x v="0"/>
    <n v="11"/>
    <n v="3"/>
    <n v="3"/>
    <n v="80"/>
    <n v="1"/>
    <n v="4"/>
    <n v="2"/>
    <x v="1"/>
    <n v="2"/>
    <n v="2"/>
    <n v="2"/>
    <n v="2"/>
    <x v="0"/>
    <x v="1"/>
  </r>
  <r>
    <n v="41"/>
    <x v="1"/>
    <x v="0"/>
    <n v="802"/>
    <x v="0"/>
    <n v="9"/>
    <n v="1"/>
    <s v="Life Sciences"/>
    <n v="1"/>
    <n v="176"/>
    <n v="3"/>
    <s v="Male"/>
    <n v="96"/>
    <n v="3"/>
    <n v="3"/>
    <x v="0"/>
    <n v="3"/>
    <x v="2"/>
    <n v="8189"/>
    <n v="21196"/>
    <n v="3"/>
    <s v="Y"/>
    <x v="0"/>
    <n v="13"/>
    <n v="3"/>
    <n v="3"/>
    <n v="80"/>
    <n v="1"/>
    <n v="12"/>
    <n v="2"/>
    <x v="1"/>
    <n v="9"/>
    <n v="7"/>
    <n v="0"/>
    <n v="7"/>
    <x v="0"/>
    <x v="1"/>
  </r>
  <r>
    <n v="26"/>
    <x v="1"/>
    <x v="0"/>
    <n v="1355"/>
    <x v="2"/>
    <n v="25"/>
    <n v="1"/>
    <s v="Life Sciences"/>
    <n v="1"/>
    <n v="177"/>
    <n v="3"/>
    <s v="Female"/>
    <n v="61"/>
    <n v="3"/>
    <n v="1"/>
    <x v="8"/>
    <n v="3"/>
    <x v="1"/>
    <n v="2942"/>
    <n v="8916"/>
    <n v="1"/>
    <s v="Y"/>
    <x v="1"/>
    <n v="23"/>
    <n v="4"/>
    <n v="4"/>
    <n v="80"/>
    <n v="1"/>
    <n v="8"/>
    <n v="3"/>
    <x v="1"/>
    <n v="8"/>
    <n v="7"/>
    <n v="5"/>
    <n v="7"/>
    <x v="1"/>
    <x v="1"/>
  </r>
  <r>
    <n v="36"/>
    <x v="1"/>
    <x v="0"/>
    <n v="216"/>
    <x v="1"/>
    <n v="6"/>
    <n v="2"/>
    <s v="Medical"/>
    <n v="1"/>
    <n v="178"/>
    <n v="2"/>
    <s v="Male"/>
    <n v="84"/>
    <n v="3"/>
    <n v="2"/>
    <x v="3"/>
    <n v="2"/>
    <x v="2"/>
    <n v="4941"/>
    <n v="2819"/>
    <n v="6"/>
    <s v="Y"/>
    <x v="1"/>
    <n v="20"/>
    <n v="4"/>
    <n v="4"/>
    <n v="80"/>
    <n v="2"/>
    <n v="7"/>
    <n v="0"/>
    <x v="1"/>
    <n v="3"/>
    <n v="2"/>
    <n v="0"/>
    <n v="1"/>
    <x v="0"/>
    <x v="1"/>
  </r>
  <r>
    <n v="51"/>
    <x v="0"/>
    <x v="1"/>
    <n v="1150"/>
    <x v="1"/>
    <n v="8"/>
    <n v="4"/>
    <s v="Life Sciences"/>
    <n v="1"/>
    <n v="179"/>
    <n v="1"/>
    <s v="Male"/>
    <n v="53"/>
    <n v="1"/>
    <n v="3"/>
    <x v="3"/>
    <n v="4"/>
    <x v="0"/>
    <n v="10650"/>
    <n v="25150"/>
    <n v="2"/>
    <s v="Y"/>
    <x v="1"/>
    <n v="15"/>
    <n v="3"/>
    <n v="4"/>
    <n v="80"/>
    <n v="0"/>
    <n v="18"/>
    <n v="2"/>
    <x v="1"/>
    <n v="4"/>
    <n v="2"/>
    <n v="0"/>
    <n v="3"/>
    <x v="2"/>
    <x v="1"/>
  </r>
  <r>
    <n v="39"/>
    <x v="1"/>
    <x v="0"/>
    <n v="1329"/>
    <x v="0"/>
    <n v="4"/>
    <n v="4"/>
    <s v="Life Sciences"/>
    <n v="1"/>
    <n v="182"/>
    <n v="4"/>
    <s v="Female"/>
    <n v="47"/>
    <n v="2"/>
    <n v="2"/>
    <x v="0"/>
    <n v="3"/>
    <x v="1"/>
    <n v="5902"/>
    <n v="14590"/>
    <n v="4"/>
    <s v="Y"/>
    <x v="1"/>
    <n v="14"/>
    <n v="3"/>
    <n v="3"/>
    <n v="80"/>
    <n v="1"/>
    <n v="17"/>
    <n v="1"/>
    <x v="3"/>
    <n v="15"/>
    <n v="11"/>
    <n v="5"/>
    <n v="9"/>
    <x v="0"/>
    <x v="3"/>
  </r>
  <r>
    <n v="25"/>
    <x v="1"/>
    <x v="0"/>
    <n v="959"/>
    <x v="0"/>
    <n v="28"/>
    <n v="3"/>
    <s v="Life Sciences"/>
    <n v="1"/>
    <n v="183"/>
    <n v="1"/>
    <s v="Male"/>
    <n v="41"/>
    <n v="2"/>
    <n v="2"/>
    <x v="0"/>
    <n v="3"/>
    <x v="1"/>
    <n v="8639"/>
    <n v="24835"/>
    <n v="2"/>
    <s v="Y"/>
    <x v="1"/>
    <n v="18"/>
    <n v="3"/>
    <n v="4"/>
    <n v="80"/>
    <n v="0"/>
    <n v="6"/>
    <n v="3"/>
    <x v="1"/>
    <n v="2"/>
    <n v="2"/>
    <n v="2"/>
    <n v="2"/>
    <x v="1"/>
    <x v="1"/>
  </r>
  <r>
    <n v="30"/>
    <x v="1"/>
    <x v="0"/>
    <n v="1240"/>
    <x v="2"/>
    <n v="9"/>
    <n v="3"/>
    <s v="Human Resources"/>
    <n v="1"/>
    <n v="184"/>
    <n v="3"/>
    <s v="Male"/>
    <n v="48"/>
    <n v="3"/>
    <n v="2"/>
    <x v="8"/>
    <n v="4"/>
    <x v="1"/>
    <n v="6347"/>
    <n v="13982"/>
    <n v="0"/>
    <s v="Y"/>
    <x v="0"/>
    <n v="19"/>
    <n v="3"/>
    <n v="4"/>
    <n v="80"/>
    <n v="0"/>
    <n v="12"/>
    <n v="2"/>
    <x v="0"/>
    <n v="11"/>
    <n v="9"/>
    <n v="4"/>
    <n v="7"/>
    <x v="1"/>
    <x v="0"/>
  </r>
  <r>
    <n v="32"/>
    <x v="0"/>
    <x v="0"/>
    <n v="1033"/>
    <x v="1"/>
    <n v="9"/>
    <n v="3"/>
    <s v="Medical"/>
    <n v="1"/>
    <n v="190"/>
    <n v="1"/>
    <s v="Female"/>
    <n v="41"/>
    <n v="3"/>
    <n v="1"/>
    <x v="2"/>
    <n v="1"/>
    <x v="0"/>
    <n v="4200"/>
    <n v="10224"/>
    <n v="7"/>
    <s v="Y"/>
    <x v="1"/>
    <n v="22"/>
    <n v="4"/>
    <n v="1"/>
    <n v="80"/>
    <n v="0"/>
    <n v="10"/>
    <n v="2"/>
    <x v="3"/>
    <n v="5"/>
    <n v="4"/>
    <n v="0"/>
    <n v="4"/>
    <x v="0"/>
    <x v="3"/>
  </r>
  <r>
    <n v="45"/>
    <x v="1"/>
    <x v="0"/>
    <n v="1316"/>
    <x v="1"/>
    <n v="29"/>
    <n v="3"/>
    <s v="Medical"/>
    <n v="1"/>
    <n v="192"/>
    <n v="3"/>
    <s v="Male"/>
    <n v="83"/>
    <n v="3"/>
    <n v="1"/>
    <x v="1"/>
    <n v="4"/>
    <x v="0"/>
    <n v="3452"/>
    <n v="9752"/>
    <n v="5"/>
    <s v="Y"/>
    <x v="1"/>
    <n v="13"/>
    <n v="3"/>
    <n v="2"/>
    <n v="80"/>
    <n v="0"/>
    <n v="9"/>
    <n v="2"/>
    <x v="2"/>
    <n v="6"/>
    <n v="5"/>
    <n v="0"/>
    <n v="3"/>
    <x v="0"/>
    <x v="2"/>
  </r>
  <r>
    <n v="38"/>
    <x v="1"/>
    <x v="0"/>
    <n v="364"/>
    <x v="1"/>
    <n v="3"/>
    <n v="5"/>
    <s v="Technical Degree"/>
    <n v="1"/>
    <n v="193"/>
    <n v="4"/>
    <s v="Female"/>
    <n v="32"/>
    <n v="3"/>
    <n v="2"/>
    <x v="1"/>
    <n v="3"/>
    <x v="0"/>
    <n v="4317"/>
    <n v="2302"/>
    <n v="3"/>
    <s v="Y"/>
    <x v="0"/>
    <n v="20"/>
    <n v="4"/>
    <n v="2"/>
    <n v="80"/>
    <n v="0"/>
    <n v="19"/>
    <n v="2"/>
    <x v="1"/>
    <n v="3"/>
    <n v="2"/>
    <n v="2"/>
    <n v="2"/>
    <x v="0"/>
    <x v="1"/>
  </r>
  <r>
    <n v="30"/>
    <x v="1"/>
    <x v="0"/>
    <n v="438"/>
    <x v="1"/>
    <n v="18"/>
    <n v="3"/>
    <s v="Life Sciences"/>
    <n v="1"/>
    <n v="194"/>
    <n v="1"/>
    <s v="Female"/>
    <n v="75"/>
    <n v="3"/>
    <n v="1"/>
    <x v="1"/>
    <n v="3"/>
    <x v="0"/>
    <n v="2632"/>
    <n v="23910"/>
    <n v="1"/>
    <s v="Y"/>
    <x v="1"/>
    <n v="14"/>
    <n v="3"/>
    <n v="3"/>
    <n v="80"/>
    <n v="0"/>
    <n v="5"/>
    <n v="4"/>
    <x v="2"/>
    <n v="5"/>
    <n v="4"/>
    <n v="0"/>
    <n v="4"/>
    <x v="1"/>
    <x v="2"/>
  </r>
  <r>
    <n v="32"/>
    <x v="1"/>
    <x v="1"/>
    <n v="689"/>
    <x v="0"/>
    <n v="9"/>
    <n v="2"/>
    <s v="Medical"/>
    <n v="1"/>
    <n v="195"/>
    <n v="4"/>
    <s v="Male"/>
    <n v="35"/>
    <n v="1"/>
    <n v="2"/>
    <x v="0"/>
    <n v="4"/>
    <x v="2"/>
    <n v="4668"/>
    <n v="22812"/>
    <n v="0"/>
    <s v="Y"/>
    <x v="1"/>
    <n v="17"/>
    <n v="3"/>
    <n v="4"/>
    <n v="80"/>
    <n v="3"/>
    <n v="9"/>
    <n v="2"/>
    <x v="3"/>
    <n v="8"/>
    <n v="7"/>
    <n v="0"/>
    <n v="7"/>
    <x v="0"/>
    <x v="3"/>
  </r>
  <r>
    <n v="30"/>
    <x v="1"/>
    <x v="0"/>
    <n v="201"/>
    <x v="1"/>
    <n v="5"/>
    <n v="3"/>
    <s v="Technical Degree"/>
    <n v="1"/>
    <n v="197"/>
    <n v="4"/>
    <s v="Female"/>
    <n v="84"/>
    <n v="3"/>
    <n v="1"/>
    <x v="1"/>
    <n v="1"/>
    <x v="2"/>
    <n v="3204"/>
    <n v="10415"/>
    <n v="5"/>
    <s v="Y"/>
    <x v="1"/>
    <n v="14"/>
    <n v="3"/>
    <n v="4"/>
    <n v="80"/>
    <n v="1"/>
    <n v="8"/>
    <n v="3"/>
    <x v="1"/>
    <n v="3"/>
    <n v="2"/>
    <n v="2"/>
    <n v="2"/>
    <x v="1"/>
    <x v="1"/>
  </r>
  <r>
    <n v="30"/>
    <x v="1"/>
    <x v="0"/>
    <n v="1427"/>
    <x v="1"/>
    <n v="2"/>
    <n v="1"/>
    <s v="Medical"/>
    <n v="1"/>
    <n v="198"/>
    <n v="2"/>
    <s v="Male"/>
    <n v="35"/>
    <n v="2"/>
    <n v="1"/>
    <x v="2"/>
    <n v="4"/>
    <x v="0"/>
    <n v="2720"/>
    <n v="11162"/>
    <n v="0"/>
    <s v="Y"/>
    <x v="1"/>
    <n v="13"/>
    <n v="3"/>
    <n v="4"/>
    <n v="80"/>
    <n v="0"/>
    <n v="6"/>
    <n v="3"/>
    <x v="1"/>
    <n v="5"/>
    <n v="3"/>
    <n v="1"/>
    <n v="2"/>
    <x v="1"/>
    <x v="1"/>
  </r>
  <r>
    <n v="41"/>
    <x v="1"/>
    <x v="1"/>
    <n v="857"/>
    <x v="1"/>
    <n v="10"/>
    <n v="3"/>
    <s v="Life Sciences"/>
    <n v="1"/>
    <n v="199"/>
    <n v="4"/>
    <s v="Male"/>
    <n v="91"/>
    <n v="2"/>
    <n v="4"/>
    <x v="5"/>
    <n v="1"/>
    <x v="2"/>
    <n v="17181"/>
    <n v="12888"/>
    <n v="4"/>
    <s v="Y"/>
    <x v="1"/>
    <n v="13"/>
    <n v="3"/>
    <n v="2"/>
    <n v="80"/>
    <n v="1"/>
    <n v="21"/>
    <n v="2"/>
    <x v="2"/>
    <n v="7"/>
    <n v="6"/>
    <n v="7"/>
    <n v="7"/>
    <x v="0"/>
    <x v="2"/>
  </r>
  <r>
    <n v="41"/>
    <x v="1"/>
    <x v="0"/>
    <n v="933"/>
    <x v="1"/>
    <n v="9"/>
    <n v="4"/>
    <s v="Life Sciences"/>
    <n v="1"/>
    <n v="200"/>
    <n v="3"/>
    <s v="Male"/>
    <n v="94"/>
    <n v="3"/>
    <n v="1"/>
    <x v="2"/>
    <n v="1"/>
    <x v="1"/>
    <n v="2238"/>
    <n v="6961"/>
    <n v="2"/>
    <s v="Y"/>
    <x v="1"/>
    <n v="21"/>
    <n v="4"/>
    <n v="4"/>
    <n v="80"/>
    <n v="1"/>
    <n v="7"/>
    <n v="2"/>
    <x v="1"/>
    <n v="5"/>
    <n v="0"/>
    <n v="1"/>
    <n v="4"/>
    <x v="0"/>
    <x v="1"/>
  </r>
  <r>
    <n v="19"/>
    <x v="1"/>
    <x v="0"/>
    <n v="1181"/>
    <x v="1"/>
    <n v="3"/>
    <n v="1"/>
    <s v="Medical"/>
    <n v="1"/>
    <n v="201"/>
    <n v="2"/>
    <s v="Female"/>
    <n v="79"/>
    <n v="3"/>
    <n v="1"/>
    <x v="2"/>
    <n v="2"/>
    <x v="0"/>
    <n v="1483"/>
    <n v="16102"/>
    <n v="1"/>
    <s v="Y"/>
    <x v="1"/>
    <n v="14"/>
    <n v="3"/>
    <n v="4"/>
    <n v="80"/>
    <n v="0"/>
    <n v="1"/>
    <n v="3"/>
    <x v="1"/>
    <n v="1"/>
    <n v="0"/>
    <n v="0"/>
    <n v="0"/>
    <x v="1"/>
    <x v="1"/>
  </r>
  <r>
    <n v="40"/>
    <x v="1"/>
    <x v="1"/>
    <n v="1395"/>
    <x v="1"/>
    <n v="26"/>
    <n v="3"/>
    <s v="Medical"/>
    <n v="1"/>
    <n v="202"/>
    <n v="2"/>
    <s v="Female"/>
    <n v="54"/>
    <n v="3"/>
    <n v="2"/>
    <x v="1"/>
    <n v="2"/>
    <x v="2"/>
    <n v="5605"/>
    <n v="8504"/>
    <n v="1"/>
    <s v="Y"/>
    <x v="1"/>
    <n v="11"/>
    <n v="3"/>
    <n v="1"/>
    <n v="80"/>
    <n v="1"/>
    <n v="20"/>
    <n v="2"/>
    <x v="1"/>
    <n v="20"/>
    <n v="7"/>
    <n v="2"/>
    <n v="13"/>
    <x v="0"/>
    <x v="1"/>
  </r>
  <r>
    <n v="35"/>
    <x v="1"/>
    <x v="0"/>
    <n v="662"/>
    <x v="0"/>
    <n v="1"/>
    <n v="5"/>
    <s v="Marketing"/>
    <n v="1"/>
    <n v="204"/>
    <n v="3"/>
    <s v="Male"/>
    <n v="94"/>
    <n v="3"/>
    <n v="3"/>
    <x v="0"/>
    <n v="2"/>
    <x v="1"/>
    <n v="7295"/>
    <n v="11439"/>
    <n v="1"/>
    <s v="Y"/>
    <x v="1"/>
    <n v="13"/>
    <n v="3"/>
    <n v="1"/>
    <n v="80"/>
    <n v="2"/>
    <n v="10"/>
    <n v="3"/>
    <x v="1"/>
    <n v="10"/>
    <n v="8"/>
    <n v="0"/>
    <n v="6"/>
    <x v="0"/>
    <x v="1"/>
  </r>
  <r>
    <n v="53"/>
    <x v="1"/>
    <x v="0"/>
    <n v="1436"/>
    <x v="0"/>
    <n v="6"/>
    <n v="2"/>
    <s v="Marketing"/>
    <n v="1"/>
    <n v="205"/>
    <n v="2"/>
    <s v="Male"/>
    <n v="34"/>
    <n v="3"/>
    <n v="2"/>
    <x v="6"/>
    <n v="3"/>
    <x v="1"/>
    <n v="2306"/>
    <n v="16047"/>
    <n v="2"/>
    <s v="Y"/>
    <x v="0"/>
    <n v="20"/>
    <n v="4"/>
    <n v="4"/>
    <n v="80"/>
    <n v="1"/>
    <n v="13"/>
    <n v="3"/>
    <x v="0"/>
    <n v="7"/>
    <n v="7"/>
    <n v="4"/>
    <n v="5"/>
    <x v="2"/>
    <x v="0"/>
  </r>
  <r>
    <n v="45"/>
    <x v="1"/>
    <x v="0"/>
    <n v="194"/>
    <x v="1"/>
    <n v="9"/>
    <n v="3"/>
    <s v="Life Sciences"/>
    <n v="1"/>
    <n v="206"/>
    <n v="2"/>
    <s v="Male"/>
    <n v="60"/>
    <n v="3"/>
    <n v="2"/>
    <x v="2"/>
    <n v="2"/>
    <x v="2"/>
    <n v="2348"/>
    <n v="10901"/>
    <n v="8"/>
    <s v="Y"/>
    <x v="1"/>
    <n v="18"/>
    <n v="3"/>
    <n v="3"/>
    <n v="80"/>
    <n v="1"/>
    <n v="20"/>
    <n v="2"/>
    <x v="0"/>
    <n v="17"/>
    <n v="9"/>
    <n v="0"/>
    <n v="15"/>
    <x v="0"/>
    <x v="0"/>
  </r>
  <r>
    <n v="32"/>
    <x v="1"/>
    <x v="1"/>
    <n v="967"/>
    <x v="0"/>
    <n v="8"/>
    <n v="3"/>
    <s v="Marketing"/>
    <n v="1"/>
    <n v="207"/>
    <n v="2"/>
    <s v="Female"/>
    <n v="43"/>
    <n v="3"/>
    <n v="3"/>
    <x v="0"/>
    <n v="4"/>
    <x v="0"/>
    <n v="8998"/>
    <n v="15589"/>
    <n v="1"/>
    <s v="Y"/>
    <x v="1"/>
    <n v="14"/>
    <n v="3"/>
    <n v="4"/>
    <n v="80"/>
    <n v="0"/>
    <n v="9"/>
    <n v="2"/>
    <x v="1"/>
    <n v="9"/>
    <n v="8"/>
    <n v="3"/>
    <n v="7"/>
    <x v="0"/>
    <x v="1"/>
  </r>
  <r>
    <n v="29"/>
    <x v="1"/>
    <x v="2"/>
    <n v="1496"/>
    <x v="1"/>
    <n v="1"/>
    <n v="1"/>
    <s v="Technical Degree"/>
    <n v="1"/>
    <n v="208"/>
    <n v="4"/>
    <s v="Male"/>
    <n v="41"/>
    <n v="3"/>
    <n v="2"/>
    <x v="3"/>
    <n v="3"/>
    <x v="1"/>
    <n v="4319"/>
    <n v="26283"/>
    <n v="1"/>
    <s v="Y"/>
    <x v="1"/>
    <n v="13"/>
    <n v="3"/>
    <n v="1"/>
    <n v="80"/>
    <n v="1"/>
    <n v="10"/>
    <n v="1"/>
    <x v="1"/>
    <n v="10"/>
    <n v="7"/>
    <n v="0"/>
    <n v="9"/>
    <x v="1"/>
    <x v="1"/>
  </r>
  <r>
    <n v="51"/>
    <x v="1"/>
    <x v="0"/>
    <n v="1169"/>
    <x v="1"/>
    <n v="7"/>
    <n v="4"/>
    <s v="Medical"/>
    <n v="1"/>
    <n v="211"/>
    <n v="2"/>
    <s v="Male"/>
    <n v="34"/>
    <n v="2"/>
    <n v="2"/>
    <x v="3"/>
    <n v="3"/>
    <x v="1"/>
    <n v="6132"/>
    <n v="13983"/>
    <n v="2"/>
    <s v="Y"/>
    <x v="1"/>
    <n v="17"/>
    <n v="3"/>
    <n v="3"/>
    <n v="80"/>
    <n v="0"/>
    <n v="10"/>
    <n v="2"/>
    <x v="1"/>
    <n v="1"/>
    <n v="0"/>
    <n v="0"/>
    <n v="0"/>
    <x v="2"/>
    <x v="1"/>
  </r>
  <r>
    <n v="58"/>
    <x v="1"/>
    <x v="0"/>
    <n v="1145"/>
    <x v="1"/>
    <n v="9"/>
    <n v="3"/>
    <s v="Medical"/>
    <n v="1"/>
    <n v="214"/>
    <n v="2"/>
    <s v="Female"/>
    <n v="75"/>
    <n v="2"/>
    <n v="1"/>
    <x v="1"/>
    <n v="2"/>
    <x v="1"/>
    <n v="3346"/>
    <n v="11873"/>
    <n v="4"/>
    <s v="Y"/>
    <x v="0"/>
    <n v="20"/>
    <n v="4"/>
    <n v="2"/>
    <n v="80"/>
    <n v="1"/>
    <n v="9"/>
    <n v="3"/>
    <x v="2"/>
    <n v="1"/>
    <n v="0"/>
    <n v="0"/>
    <n v="0"/>
    <x v="2"/>
    <x v="2"/>
  </r>
  <r>
    <n v="40"/>
    <x v="1"/>
    <x v="0"/>
    <n v="630"/>
    <x v="0"/>
    <n v="4"/>
    <n v="4"/>
    <s v="Marketing"/>
    <n v="1"/>
    <n v="215"/>
    <n v="3"/>
    <s v="Male"/>
    <n v="67"/>
    <n v="2"/>
    <n v="3"/>
    <x v="0"/>
    <n v="4"/>
    <x v="1"/>
    <n v="10855"/>
    <n v="8552"/>
    <n v="7"/>
    <s v="Y"/>
    <x v="1"/>
    <n v="11"/>
    <n v="3"/>
    <n v="1"/>
    <n v="80"/>
    <n v="1"/>
    <n v="15"/>
    <n v="2"/>
    <x v="2"/>
    <n v="12"/>
    <n v="11"/>
    <n v="2"/>
    <n v="11"/>
    <x v="0"/>
    <x v="2"/>
  </r>
  <r>
    <n v="34"/>
    <x v="1"/>
    <x v="1"/>
    <n v="303"/>
    <x v="0"/>
    <n v="2"/>
    <n v="4"/>
    <s v="Marketing"/>
    <n v="1"/>
    <n v="216"/>
    <n v="3"/>
    <s v="Female"/>
    <n v="75"/>
    <n v="3"/>
    <n v="1"/>
    <x v="6"/>
    <n v="3"/>
    <x v="1"/>
    <n v="2231"/>
    <n v="11314"/>
    <n v="6"/>
    <s v="Y"/>
    <x v="1"/>
    <n v="18"/>
    <n v="3"/>
    <n v="4"/>
    <n v="80"/>
    <n v="1"/>
    <n v="6"/>
    <n v="3"/>
    <x v="1"/>
    <n v="4"/>
    <n v="3"/>
    <n v="1"/>
    <n v="2"/>
    <x v="0"/>
    <x v="1"/>
  </r>
  <r>
    <n v="22"/>
    <x v="1"/>
    <x v="0"/>
    <n v="1256"/>
    <x v="1"/>
    <n v="19"/>
    <n v="1"/>
    <s v="Medical"/>
    <n v="1"/>
    <n v="217"/>
    <n v="3"/>
    <s v="Male"/>
    <n v="80"/>
    <n v="3"/>
    <n v="1"/>
    <x v="1"/>
    <n v="4"/>
    <x v="1"/>
    <n v="2323"/>
    <n v="11992"/>
    <n v="1"/>
    <s v="Y"/>
    <x v="1"/>
    <n v="24"/>
    <n v="4"/>
    <n v="1"/>
    <n v="80"/>
    <n v="2"/>
    <n v="2"/>
    <n v="6"/>
    <x v="1"/>
    <n v="2"/>
    <n v="2"/>
    <n v="2"/>
    <n v="2"/>
    <x v="1"/>
    <x v="1"/>
  </r>
  <r>
    <n v="27"/>
    <x v="1"/>
    <x v="2"/>
    <n v="691"/>
    <x v="1"/>
    <n v="9"/>
    <n v="3"/>
    <s v="Medical"/>
    <n v="1"/>
    <n v="218"/>
    <n v="4"/>
    <s v="Male"/>
    <n v="57"/>
    <n v="3"/>
    <n v="1"/>
    <x v="1"/>
    <n v="2"/>
    <x v="2"/>
    <n v="2024"/>
    <n v="5970"/>
    <n v="6"/>
    <s v="Y"/>
    <x v="1"/>
    <n v="18"/>
    <n v="3"/>
    <n v="4"/>
    <n v="80"/>
    <n v="1"/>
    <n v="6"/>
    <n v="1"/>
    <x v="0"/>
    <n v="2"/>
    <n v="2"/>
    <n v="2"/>
    <n v="2"/>
    <x v="1"/>
    <x v="0"/>
  </r>
  <r>
    <n v="28"/>
    <x v="1"/>
    <x v="0"/>
    <n v="440"/>
    <x v="1"/>
    <n v="21"/>
    <n v="3"/>
    <s v="Medical"/>
    <n v="1"/>
    <n v="221"/>
    <n v="3"/>
    <s v="Male"/>
    <n v="42"/>
    <n v="3"/>
    <n v="1"/>
    <x v="1"/>
    <n v="4"/>
    <x v="1"/>
    <n v="2713"/>
    <n v="6672"/>
    <n v="1"/>
    <s v="Y"/>
    <x v="1"/>
    <n v="11"/>
    <n v="3"/>
    <n v="3"/>
    <n v="80"/>
    <n v="1"/>
    <n v="5"/>
    <n v="2"/>
    <x v="0"/>
    <n v="5"/>
    <n v="2"/>
    <n v="0"/>
    <n v="2"/>
    <x v="1"/>
    <x v="0"/>
  </r>
  <r>
    <n v="57"/>
    <x v="1"/>
    <x v="0"/>
    <n v="334"/>
    <x v="1"/>
    <n v="24"/>
    <n v="2"/>
    <s v="Life Sciences"/>
    <n v="1"/>
    <n v="223"/>
    <n v="3"/>
    <s v="Male"/>
    <n v="83"/>
    <n v="4"/>
    <n v="3"/>
    <x v="4"/>
    <n v="4"/>
    <x v="2"/>
    <n v="9439"/>
    <n v="23402"/>
    <n v="3"/>
    <s v="Y"/>
    <x v="0"/>
    <n v="16"/>
    <n v="3"/>
    <n v="2"/>
    <n v="80"/>
    <n v="1"/>
    <n v="12"/>
    <n v="2"/>
    <x v="0"/>
    <n v="5"/>
    <n v="3"/>
    <n v="1"/>
    <n v="4"/>
    <x v="2"/>
    <x v="0"/>
  </r>
  <r>
    <n v="27"/>
    <x v="1"/>
    <x v="2"/>
    <n v="1450"/>
    <x v="1"/>
    <n v="3"/>
    <n v="3"/>
    <s v="Medical"/>
    <n v="1"/>
    <n v="224"/>
    <n v="3"/>
    <s v="Male"/>
    <n v="79"/>
    <n v="2"/>
    <n v="1"/>
    <x v="1"/>
    <n v="3"/>
    <x v="2"/>
    <n v="2566"/>
    <n v="25326"/>
    <n v="1"/>
    <s v="Y"/>
    <x v="0"/>
    <n v="15"/>
    <n v="3"/>
    <n v="4"/>
    <n v="80"/>
    <n v="1"/>
    <n v="1"/>
    <n v="2"/>
    <x v="2"/>
    <n v="1"/>
    <n v="1"/>
    <n v="0"/>
    <n v="1"/>
    <x v="1"/>
    <x v="2"/>
  </r>
  <r>
    <n v="50"/>
    <x v="1"/>
    <x v="0"/>
    <n v="1452"/>
    <x v="1"/>
    <n v="11"/>
    <n v="3"/>
    <s v="Life Sciences"/>
    <n v="1"/>
    <n v="226"/>
    <n v="3"/>
    <s v="Female"/>
    <n v="53"/>
    <n v="3"/>
    <n v="5"/>
    <x v="5"/>
    <n v="2"/>
    <x v="0"/>
    <n v="19926"/>
    <n v="17053"/>
    <n v="3"/>
    <s v="Y"/>
    <x v="1"/>
    <n v="15"/>
    <n v="3"/>
    <n v="2"/>
    <n v="80"/>
    <n v="0"/>
    <n v="21"/>
    <n v="5"/>
    <x v="1"/>
    <n v="5"/>
    <n v="4"/>
    <n v="4"/>
    <n v="4"/>
    <x v="0"/>
    <x v="1"/>
  </r>
  <r>
    <n v="41"/>
    <x v="1"/>
    <x v="0"/>
    <n v="465"/>
    <x v="1"/>
    <n v="14"/>
    <n v="3"/>
    <s v="Life Sciences"/>
    <n v="1"/>
    <n v="227"/>
    <n v="1"/>
    <s v="Male"/>
    <n v="56"/>
    <n v="3"/>
    <n v="1"/>
    <x v="1"/>
    <n v="3"/>
    <x v="2"/>
    <n v="2451"/>
    <n v="4609"/>
    <n v="4"/>
    <s v="Y"/>
    <x v="1"/>
    <n v="12"/>
    <n v="3"/>
    <n v="1"/>
    <n v="80"/>
    <n v="1"/>
    <n v="13"/>
    <n v="2"/>
    <x v="1"/>
    <n v="9"/>
    <n v="8"/>
    <n v="1"/>
    <n v="8"/>
    <x v="0"/>
    <x v="1"/>
  </r>
  <r>
    <n v="30"/>
    <x v="1"/>
    <x v="0"/>
    <n v="1339"/>
    <x v="0"/>
    <n v="5"/>
    <n v="3"/>
    <s v="Life Sciences"/>
    <n v="1"/>
    <n v="228"/>
    <n v="2"/>
    <s v="Female"/>
    <n v="41"/>
    <n v="3"/>
    <n v="3"/>
    <x v="0"/>
    <n v="4"/>
    <x v="1"/>
    <n v="9419"/>
    <n v="8053"/>
    <n v="2"/>
    <s v="Y"/>
    <x v="1"/>
    <n v="12"/>
    <n v="3"/>
    <n v="3"/>
    <n v="80"/>
    <n v="1"/>
    <n v="12"/>
    <n v="2"/>
    <x v="1"/>
    <n v="10"/>
    <n v="9"/>
    <n v="7"/>
    <n v="4"/>
    <x v="1"/>
    <x v="1"/>
  </r>
  <r>
    <n v="38"/>
    <x v="1"/>
    <x v="0"/>
    <n v="702"/>
    <x v="0"/>
    <n v="1"/>
    <n v="4"/>
    <s v="Life Sciences"/>
    <n v="1"/>
    <n v="230"/>
    <n v="1"/>
    <s v="Female"/>
    <n v="59"/>
    <n v="2"/>
    <n v="2"/>
    <x v="0"/>
    <n v="4"/>
    <x v="0"/>
    <n v="8686"/>
    <n v="12930"/>
    <n v="4"/>
    <s v="Y"/>
    <x v="1"/>
    <n v="22"/>
    <n v="4"/>
    <n v="3"/>
    <n v="80"/>
    <n v="0"/>
    <n v="12"/>
    <n v="2"/>
    <x v="3"/>
    <n v="8"/>
    <n v="3"/>
    <n v="0"/>
    <n v="7"/>
    <x v="0"/>
    <x v="3"/>
  </r>
  <r>
    <n v="32"/>
    <x v="1"/>
    <x v="0"/>
    <n v="120"/>
    <x v="1"/>
    <n v="6"/>
    <n v="5"/>
    <s v="Life Sciences"/>
    <n v="1"/>
    <n v="231"/>
    <n v="3"/>
    <s v="Male"/>
    <n v="43"/>
    <n v="3"/>
    <n v="1"/>
    <x v="1"/>
    <n v="3"/>
    <x v="0"/>
    <n v="3038"/>
    <n v="12430"/>
    <n v="3"/>
    <s v="Y"/>
    <x v="1"/>
    <n v="20"/>
    <n v="4"/>
    <n v="1"/>
    <n v="80"/>
    <n v="0"/>
    <n v="8"/>
    <n v="2"/>
    <x v="1"/>
    <n v="5"/>
    <n v="4"/>
    <n v="1"/>
    <n v="4"/>
    <x v="0"/>
    <x v="1"/>
  </r>
  <r>
    <n v="27"/>
    <x v="1"/>
    <x v="0"/>
    <n v="1157"/>
    <x v="1"/>
    <n v="17"/>
    <n v="3"/>
    <s v="Technical Degree"/>
    <n v="1"/>
    <n v="233"/>
    <n v="3"/>
    <s v="Male"/>
    <n v="51"/>
    <n v="3"/>
    <n v="1"/>
    <x v="1"/>
    <n v="2"/>
    <x v="1"/>
    <n v="3058"/>
    <n v="13364"/>
    <n v="0"/>
    <s v="Y"/>
    <x v="0"/>
    <n v="16"/>
    <n v="3"/>
    <n v="4"/>
    <n v="80"/>
    <n v="1"/>
    <n v="6"/>
    <n v="3"/>
    <x v="2"/>
    <n v="5"/>
    <n v="2"/>
    <n v="1"/>
    <n v="1"/>
    <x v="1"/>
    <x v="2"/>
  </r>
  <r>
    <n v="19"/>
    <x v="0"/>
    <x v="1"/>
    <n v="602"/>
    <x v="0"/>
    <n v="1"/>
    <n v="1"/>
    <s v="Technical Degree"/>
    <n v="1"/>
    <n v="235"/>
    <n v="3"/>
    <s v="Female"/>
    <n v="100"/>
    <n v="1"/>
    <n v="1"/>
    <x v="6"/>
    <n v="1"/>
    <x v="0"/>
    <n v="2325"/>
    <n v="20989"/>
    <n v="0"/>
    <s v="Y"/>
    <x v="1"/>
    <n v="21"/>
    <n v="4"/>
    <n v="1"/>
    <n v="80"/>
    <n v="0"/>
    <n v="1"/>
    <n v="5"/>
    <x v="3"/>
    <n v="0"/>
    <n v="0"/>
    <n v="0"/>
    <n v="0"/>
    <x v="1"/>
    <x v="3"/>
  </r>
  <r>
    <n v="36"/>
    <x v="1"/>
    <x v="1"/>
    <n v="1480"/>
    <x v="1"/>
    <n v="3"/>
    <n v="2"/>
    <s v="Medical"/>
    <n v="1"/>
    <n v="238"/>
    <n v="4"/>
    <s v="Male"/>
    <n v="30"/>
    <n v="3"/>
    <n v="1"/>
    <x v="2"/>
    <n v="2"/>
    <x v="0"/>
    <n v="2088"/>
    <n v="15062"/>
    <n v="4"/>
    <s v="Y"/>
    <x v="1"/>
    <n v="12"/>
    <n v="3"/>
    <n v="3"/>
    <n v="80"/>
    <n v="0"/>
    <n v="13"/>
    <n v="3"/>
    <x v="2"/>
    <n v="8"/>
    <n v="7"/>
    <n v="7"/>
    <n v="2"/>
    <x v="0"/>
    <x v="2"/>
  </r>
  <r>
    <n v="30"/>
    <x v="1"/>
    <x v="2"/>
    <n v="111"/>
    <x v="1"/>
    <n v="9"/>
    <n v="3"/>
    <s v="Medical"/>
    <n v="1"/>
    <n v="239"/>
    <n v="3"/>
    <s v="Male"/>
    <n v="66"/>
    <n v="3"/>
    <n v="2"/>
    <x v="2"/>
    <n v="1"/>
    <x v="2"/>
    <n v="3072"/>
    <n v="11012"/>
    <n v="1"/>
    <s v="Y"/>
    <x v="1"/>
    <n v="11"/>
    <n v="3"/>
    <n v="3"/>
    <n v="80"/>
    <n v="2"/>
    <n v="12"/>
    <n v="4"/>
    <x v="1"/>
    <n v="12"/>
    <n v="9"/>
    <n v="6"/>
    <n v="10"/>
    <x v="1"/>
    <x v="1"/>
  </r>
  <r>
    <n v="45"/>
    <x v="1"/>
    <x v="0"/>
    <n v="1268"/>
    <x v="0"/>
    <n v="4"/>
    <n v="2"/>
    <s v="Life Sciences"/>
    <n v="1"/>
    <n v="240"/>
    <n v="3"/>
    <s v="Female"/>
    <n v="30"/>
    <n v="3"/>
    <n v="2"/>
    <x v="0"/>
    <n v="1"/>
    <x v="2"/>
    <n v="5006"/>
    <n v="6319"/>
    <n v="4"/>
    <s v="Y"/>
    <x v="0"/>
    <n v="11"/>
    <n v="3"/>
    <n v="1"/>
    <n v="80"/>
    <n v="1"/>
    <n v="9"/>
    <n v="3"/>
    <x v="3"/>
    <n v="5"/>
    <n v="4"/>
    <n v="0"/>
    <n v="3"/>
    <x v="0"/>
    <x v="3"/>
  </r>
  <r>
    <n v="56"/>
    <x v="1"/>
    <x v="0"/>
    <n v="713"/>
    <x v="1"/>
    <n v="8"/>
    <n v="3"/>
    <s v="Life Sciences"/>
    <n v="1"/>
    <n v="241"/>
    <n v="3"/>
    <s v="Female"/>
    <n v="67"/>
    <n v="3"/>
    <n v="1"/>
    <x v="1"/>
    <n v="1"/>
    <x v="2"/>
    <n v="4257"/>
    <n v="13939"/>
    <n v="4"/>
    <s v="Y"/>
    <x v="0"/>
    <n v="18"/>
    <n v="3"/>
    <n v="3"/>
    <n v="80"/>
    <n v="1"/>
    <n v="19"/>
    <n v="3"/>
    <x v="1"/>
    <n v="2"/>
    <n v="2"/>
    <n v="2"/>
    <n v="2"/>
    <x v="2"/>
    <x v="1"/>
  </r>
  <r>
    <n v="33"/>
    <x v="1"/>
    <x v="0"/>
    <n v="134"/>
    <x v="1"/>
    <n v="2"/>
    <n v="3"/>
    <s v="Life Sciences"/>
    <n v="1"/>
    <n v="242"/>
    <n v="3"/>
    <s v="Male"/>
    <n v="90"/>
    <n v="3"/>
    <n v="1"/>
    <x v="1"/>
    <n v="4"/>
    <x v="0"/>
    <n v="2500"/>
    <n v="10515"/>
    <n v="0"/>
    <s v="Y"/>
    <x v="1"/>
    <n v="14"/>
    <n v="3"/>
    <n v="1"/>
    <n v="80"/>
    <n v="0"/>
    <n v="4"/>
    <n v="2"/>
    <x v="3"/>
    <n v="3"/>
    <n v="1"/>
    <n v="0"/>
    <n v="2"/>
    <x v="0"/>
    <x v="3"/>
  </r>
  <r>
    <n v="19"/>
    <x v="0"/>
    <x v="0"/>
    <n v="303"/>
    <x v="1"/>
    <n v="2"/>
    <n v="3"/>
    <s v="Life Sciences"/>
    <n v="1"/>
    <n v="243"/>
    <n v="2"/>
    <s v="Male"/>
    <n v="47"/>
    <n v="2"/>
    <n v="1"/>
    <x v="2"/>
    <n v="4"/>
    <x v="0"/>
    <n v="1102"/>
    <n v="9241"/>
    <n v="1"/>
    <s v="Y"/>
    <x v="1"/>
    <n v="22"/>
    <n v="4"/>
    <n v="3"/>
    <n v="80"/>
    <n v="0"/>
    <n v="1"/>
    <n v="3"/>
    <x v="2"/>
    <n v="1"/>
    <n v="0"/>
    <n v="1"/>
    <n v="0"/>
    <x v="1"/>
    <x v="2"/>
  </r>
  <r>
    <n v="46"/>
    <x v="1"/>
    <x v="0"/>
    <n v="526"/>
    <x v="0"/>
    <n v="1"/>
    <n v="2"/>
    <s v="Marketing"/>
    <n v="1"/>
    <n v="244"/>
    <n v="2"/>
    <s v="Female"/>
    <n v="92"/>
    <n v="3"/>
    <n v="3"/>
    <x v="0"/>
    <n v="1"/>
    <x v="2"/>
    <n v="10453"/>
    <n v="2137"/>
    <n v="1"/>
    <s v="Y"/>
    <x v="1"/>
    <n v="25"/>
    <n v="4"/>
    <n v="3"/>
    <n v="80"/>
    <n v="3"/>
    <n v="24"/>
    <n v="2"/>
    <x v="1"/>
    <n v="24"/>
    <n v="13"/>
    <n v="15"/>
    <n v="7"/>
    <x v="0"/>
    <x v="1"/>
  </r>
  <r>
    <n v="38"/>
    <x v="1"/>
    <x v="0"/>
    <n v="1380"/>
    <x v="1"/>
    <n v="9"/>
    <n v="2"/>
    <s v="Life Sciences"/>
    <n v="1"/>
    <n v="245"/>
    <n v="3"/>
    <s v="Female"/>
    <n v="75"/>
    <n v="3"/>
    <n v="1"/>
    <x v="2"/>
    <n v="4"/>
    <x v="0"/>
    <n v="2288"/>
    <n v="6319"/>
    <n v="1"/>
    <s v="Y"/>
    <x v="1"/>
    <n v="12"/>
    <n v="3"/>
    <n v="3"/>
    <n v="80"/>
    <n v="0"/>
    <n v="2"/>
    <n v="3"/>
    <x v="1"/>
    <n v="2"/>
    <n v="2"/>
    <n v="2"/>
    <n v="1"/>
    <x v="0"/>
    <x v="1"/>
  </r>
  <r>
    <n v="31"/>
    <x v="1"/>
    <x v="0"/>
    <n v="140"/>
    <x v="1"/>
    <n v="12"/>
    <n v="1"/>
    <s v="Medical"/>
    <n v="1"/>
    <n v="246"/>
    <n v="3"/>
    <s v="Female"/>
    <n v="95"/>
    <n v="3"/>
    <n v="1"/>
    <x v="1"/>
    <n v="4"/>
    <x v="1"/>
    <n v="3929"/>
    <n v="6984"/>
    <n v="8"/>
    <s v="Y"/>
    <x v="0"/>
    <n v="23"/>
    <n v="4"/>
    <n v="3"/>
    <n v="80"/>
    <n v="1"/>
    <n v="7"/>
    <n v="0"/>
    <x v="1"/>
    <n v="4"/>
    <n v="2"/>
    <n v="0"/>
    <n v="2"/>
    <x v="0"/>
    <x v="1"/>
  </r>
  <r>
    <n v="34"/>
    <x v="1"/>
    <x v="0"/>
    <n v="629"/>
    <x v="1"/>
    <n v="27"/>
    <n v="2"/>
    <s v="Medical"/>
    <n v="1"/>
    <n v="247"/>
    <n v="4"/>
    <s v="Female"/>
    <n v="95"/>
    <n v="3"/>
    <n v="1"/>
    <x v="1"/>
    <n v="2"/>
    <x v="0"/>
    <n v="2311"/>
    <n v="5711"/>
    <n v="2"/>
    <s v="Y"/>
    <x v="1"/>
    <n v="15"/>
    <n v="3"/>
    <n v="4"/>
    <n v="80"/>
    <n v="0"/>
    <n v="9"/>
    <n v="3"/>
    <x v="1"/>
    <n v="3"/>
    <n v="2"/>
    <n v="1"/>
    <n v="2"/>
    <x v="0"/>
    <x v="1"/>
  </r>
  <r>
    <n v="41"/>
    <x v="0"/>
    <x v="0"/>
    <n v="1356"/>
    <x v="0"/>
    <n v="20"/>
    <n v="2"/>
    <s v="Marketing"/>
    <n v="1"/>
    <n v="248"/>
    <n v="2"/>
    <s v="Female"/>
    <n v="70"/>
    <n v="3"/>
    <n v="1"/>
    <x v="6"/>
    <n v="2"/>
    <x v="0"/>
    <n v="3140"/>
    <n v="21728"/>
    <n v="1"/>
    <s v="Y"/>
    <x v="0"/>
    <n v="22"/>
    <n v="4"/>
    <n v="4"/>
    <n v="80"/>
    <n v="0"/>
    <n v="4"/>
    <n v="5"/>
    <x v="2"/>
    <n v="4"/>
    <n v="3"/>
    <n v="0"/>
    <n v="2"/>
    <x v="0"/>
    <x v="2"/>
  </r>
  <r>
    <n v="50"/>
    <x v="1"/>
    <x v="0"/>
    <n v="328"/>
    <x v="1"/>
    <n v="1"/>
    <n v="3"/>
    <s v="Medical"/>
    <n v="1"/>
    <n v="249"/>
    <n v="3"/>
    <s v="Male"/>
    <n v="86"/>
    <n v="2"/>
    <n v="1"/>
    <x v="2"/>
    <n v="3"/>
    <x v="1"/>
    <n v="3690"/>
    <n v="3425"/>
    <n v="2"/>
    <s v="Y"/>
    <x v="1"/>
    <n v="15"/>
    <n v="3"/>
    <n v="4"/>
    <n v="80"/>
    <n v="1"/>
    <n v="5"/>
    <n v="2"/>
    <x v="2"/>
    <n v="3"/>
    <n v="2"/>
    <n v="0"/>
    <n v="2"/>
    <x v="0"/>
    <x v="2"/>
  </r>
  <r>
    <n v="53"/>
    <x v="1"/>
    <x v="0"/>
    <n v="1084"/>
    <x v="1"/>
    <n v="13"/>
    <n v="2"/>
    <s v="Medical"/>
    <n v="1"/>
    <n v="250"/>
    <n v="4"/>
    <s v="Female"/>
    <n v="57"/>
    <n v="4"/>
    <n v="2"/>
    <x v="3"/>
    <n v="1"/>
    <x v="2"/>
    <n v="4450"/>
    <n v="26250"/>
    <n v="1"/>
    <s v="Y"/>
    <x v="1"/>
    <n v="11"/>
    <n v="3"/>
    <n v="3"/>
    <n v="80"/>
    <n v="2"/>
    <n v="5"/>
    <n v="3"/>
    <x v="1"/>
    <n v="4"/>
    <n v="2"/>
    <n v="1"/>
    <n v="3"/>
    <x v="2"/>
    <x v="1"/>
  </r>
  <r>
    <n v="33"/>
    <x v="1"/>
    <x v="0"/>
    <n v="931"/>
    <x v="1"/>
    <n v="14"/>
    <n v="3"/>
    <s v="Medical"/>
    <n v="1"/>
    <n v="252"/>
    <n v="4"/>
    <s v="Female"/>
    <n v="72"/>
    <n v="3"/>
    <n v="1"/>
    <x v="1"/>
    <n v="2"/>
    <x v="1"/>
    <n v="2756"/>
    <n v="4673"/>
    <n v="1"/>
    <s v="Y"/>
    <x v="1"/>
    <n v="13"/>
    <n v="3"/>
    <n v="4"/>
    <n v="80"/>
    <n v="1"/>
    <n v="8"/>
    <n v="5"/>
    <x v="1"/>
    <n v="8"/>
    <n v="7"/>
    <n v="1"/>
    <n v="6"/>
    <x v="0"/>
    <x v="1"/>
  </r>
  <r>
    <n v="40"/>
    <x v="1"/>
    <x v="0"/>
    <n v="989"/>
    <x v="1"/>
    <n v="4"/>
    <n v="1"/>
    <s v="Medical"/>
    <n v="1"/>
    <n v="253"/>
    <n v="4"/>
    <s v="Female"/>
    <n v="46"/>
    <n v="3"/>
    <n v="5"/>
    <x v="5"/>
    <n v="3"/>
    <x v="1"/>
    <n v="19033"/>
    <n v="6499"/>
    <n v="1"/>
    <s v="Y"/>
    <x v="1"/>
    <n v="14"/>
    <n v="3"/>
    <n v="2"/>
    <n v="80"/>
    <n v="1"/>
    <n v="21"/>
    <n v="2"/>
    <x v="1"/>
    <n v="20"/>
    <n v="8"/>
    <n v="9"/>
    <n v="9"/>
    <x v="0"/>
    <x v="1"/>
  </r>
  <r>
    <n v="55"/>
    <x v="1"/>
    <x v="0"/>
    <n v="692"/>
    <x v="1"/>
    <n v="14"/>
    <n v="4"/>
    <s v="Medical"/>
    <n v="1"/>
    <n v="254"/>
    <n v="3"/>
    <s v="Male"/>
    <n v="61"/>
    <n v="4"/>
    <n v="5"/>
    <x v="7"/>
    <n v="2"/>
    <x v="0"/>
    <n v="18722"/>
    <n v="13339"/>
    <n v="8"/>
    <s v="Y"/>
    <x v="1"/>
    <n v="11"/>
    <n v="3"/>
    <n v="4"/>
    <n v="80"/>
    <n v="0"/>
    <n v="36"/>
    <n v="3"/>
    <x v="1"/>
    <n v="24"/>
    <n v="15"/>
    <n v="2"/>
    <n v="15"/>
    <x v="2"/>
    <x v="1"/>
  </r>
  <r>
    <n v="34"/>
    <x v="1"/>
    <x v="1"/>
    <n v="1069"/>
    <x v="1"/>
    <n v="2"/>
    <n v="1"/>
    <s v="Life Sciences"/>
    <n v="1"/>
    <n v="256"/>
    <n v="4"/>
    <s v="Male"/>
    <n v="45"/>
    <n v="2"/>
    <n v="2"/>
    <x v="3"/>
    <n v="3"/>
    <x v="1"/>
    <n v="9547"/>
    <n v="14074"/>
    <n v="1"/>
    <s v="Y"/>
    <x v="1"/>
    <n v="17"/>
    <n v="3"/>
    <n v="3"/>
    <n v="80"/>
    <n v="0"/>
    <n v="10"/>
    <n v="2"/>
    <x v="2"/>
    <n v="10"/>
    <n v="9"/>
    <n v="1"/>
    <n v="9"/>
    <x v="0"/>
    <x v="2"/>
  </r>
  <r>
    <n v="51"/>
    <x v="1"/>
    <x v="0"/>
    <n v="313"/>
    <x v="1"/>
    <n v="3"/>
    <n v="3"/>
    <s v="Medical"/>
    <n v="1"/>
    <n v="258"/>
    <n v="4"/>
    <s v="Female"/>
    <n v="98"/>
    <n v="3"/>
    <n v="4"/>
    <x v="4"/>
    <n v="2"/>
    <x v="0"/>
    <n v="13734"/>
    <n v="7192"/>
    <n v="3"/>
    <s v="Y"/>
    <x v="1"/>
    <n v="18"/>
    <n v="3"/>
    <n v="3"/>
    <n v="80"/>
    <n v="0"/>
    <n v="21"/>
    <n v="6"/>
    <x v="1"/>
    <n v="7"/>
    <n v="7"/>
    <n v="1"/>
    <n v="0"/>
    <x v="2"/>
    <x v="1"/>
  </r>
  <r>
    <n v="52"/>
    <x v="1"/>
    <x v="0"/>
    <n v="699"/>
    <x v="1"/>
    <n v="1"/>
    <n v="4"/>
    <s v="Life Sciences"/>
    <n v="1"/>
    <n v="259"/>
    <n v="3"/>
    <s v="Male"/>
    <n v="65"/>
    <n v="2"/>
    <n v="5"/>
    <x v="5"/>
    <n v="3"/>
    <x v="1"/>
    <n v="19999"/>
    <n v="5678"/>
    <n v="0"/>
    <s v="Y"/>
    <x v="1"/>
    <n v="14"/>
    <n v="3"/>
    <n v="1"/>
    <n v="80"/>
    <n v="1"/>
    <n v="34"/>
    <n v="5"/>
    <x v="1"/>
    <n v="33"/>
    <n v="18"/>
    <n v="11"/>
    <n v="9"/>
    <x v="2"/>
    <x v="1"/>
  </r>
  <r>
    <n v="27"/>
    <x v="1"/>
    <x v="0"/>
    <n v="894"/>
    <x v="1"/>
    <n v="9"/>
    <n v="3"/>
    <s v="Medical"/>
    <n v="1"/>
    <n v="260"/>
    <n v="4"/>
    <s v="Female"/>
    <n v="99"/>
    <n v="3"/>
    <n v="1"/>
    <x v="1"/>
    <n v="2"/>
    <x v="0"/>
    <n v="2279"/>
    <n v="11781"/>
    <n v="1"/>
    <s v="Y"/>
    <x v="1"/>
    <n v="16"/>
    <n v="3"/>
    <n v="4"/>
    <n v="80"/>
    <n v="0"/>
    <n v="7"/>
    <n v="2"/>
    <x v="2"/>
    <n v="7"/>
    <n v="7"/>
    <n v="0"/>
    <n v="3"/>
    <x v="1"/>
    <x v="2"/>
  </r>
  <r>
    <n v="35"/>
    <x v="0"/>
    <x v="0"/>
    <n v="556"/>
    <x v="1"/>
    <n v="23"/>
    <n v="2"/>
    <s v="Life Sciences"/>
    <n v="1"/>
    <n v="261"/>
    <n v="2"/>
    <s v="Male"/>
    <n v="50"/>
    <n v="2"/>
    <n v="2"/>
    <x v="3"/>
    <n v="3"/>
    <x v="1"/>
    <n v="5916"/>
    <n v="15497"/>
    <n v="3"/>
    <s v="Y"/>
    <x v="0"/>
    <n v="13"/>
    <n v="3"/>
    <n v="1"/>
    <n v="80"/>
    <n v="0"/>
    <n v="8"/>
    <n v="1"/>
    <x v="1"/>
    <n v="1"/>
    <n v="0"/>
    <n v="0"/>
    <n v="1"/>
    <x v="0"/>
    <x v="1"/>
  </r>
  <r>
    <n v="43"/>
    <x v="1"/>
    <x v="2"/>
    <n v="1344"/>
    <x v="1"/>
    <n v="7"/>
    <n v="3"/>
    <s v="Medical"/>
    <n v="1"/>
    <n v="262"/>
    <n v="4"/>
    <s v="Male"/>
    <n v="37"/>
    <n v="4"/>
    <n v="1"/>
    <x v="1"/>
    <n v="4"/>
    <x v="2"/>
    <n v="2089"/>
    <n v="5228"/>
    <n v="4"/>
    <s v="Y"/>
    <x v="1"/>
    <n v="14"/>
    <n v="3"/>
    <n v="4"/>
    <n v="80"/>
    <n v="3"/>
    <n v="7"/>
    <n v="3"/>
    <x v="3"/>
    <n v="5"/>
    <n v="4"/>
    <n v="2"/>
    <n v="2"/>
    <x v="0"/>
    <x v="3"/>
  </r>
  <r>
    <n v="45"/>
    <x v="1"/>
    <x v="2"/>
    <n v="1195"/>
    <x v="1"/>
    <n v="2"/>
    <n v="2"/>
    <s v="Medical"/>
    <n v="1"/>
    <n v="264"/>
    <n v="1"/>
    <s v="Male"/>
    <n v="65"/>
    <n v="2"/>
    <n v="4"/>
    <x v="5"/>
    <n v="4"/>
    <x v="1"/>
    <n v="16792"/>
    <n v="20462"/>
    <n v="9"/>
    <s v="Y"/>
    <x v="1"/>
    <n v="23"/>
    <n v="4"/>
    <n v="4"/>
    <n v="80"/>
    <n v="1"/>
    <n v="22"/>
    <n v="1"/>
    <x v="1"/>
    <n v="20"/>
    <n v="8"/>
    <n v="11"/>
    <n v="8"/>
    <x v="0"/>
    <x v="1"/>
  </r>
  <r>
    <n v="37"/>
    <x v="1"/>
    <x v="0"/>
    <n v="290"/>
    <x v="1"/>
    <n v="21"/>
    <n v="3"/>
    <s v="Life Sciences"/>
    <n v="1"/>
    <n v="267"/>
    <n v="2"/>
    <s v="Male"/>
    <n v="65"/>
    <n v="4"/>
    <n v="1"/>
    <x v="1"/>
    <n v="1"/>
    <x v="1"/>
    <n v="3564"/>
    <n v="22977"/>
    <n v="1"/>
    <s v="Y"/>
    <x v="0"/>
    <n v="12"/>
    <n v="3"/>
    <n v="1"/>
    <n v="80"/>
    <n v="1"/>
    <n v="8"/>
    <n v="3"/>
    <x v="2"/>
    <n v="8"/>
    <n v="7"/>
    <n v="1"/>
    <n v="7"/>
    <x v="0"/>
    <x v="2"/>
  </r>
  <r>
    <n v="35"/>
    <x v="1"/>
    <x v="1"/>
    <n v="138"/>
    <x v="1"/>
    <n v="2"/>
    <n v="3"/>
    <s v="Medical"/>
    <n v="1"/>
    <n v="269"/>
    <n v="2"/>
    <s v="Female"/>
    <n v="37"/>
    <n v="3"/>
    <n v="2"/>
    <x v="2"/>
    <n v="2"/>
    <x v="0"/>
    <n v="4425"/>
    <n v="15986"/>
    <n v="5"/>
    <s v="Y"/>
    <x v="1"/>
    <n v="11"/>
    <n v="3"/>
    <n v="4"/>
    <n v="80"/>
    <n v="0"/>
    <n v="10"/>
    <n v="5"/>
    <x v="1"/>
    <n v="6"/>
    <n v="2"/>
    <n v="1"/>
    <n v="2"/>
    <x v="0"/>
    <x v="1"/>
  </r>
  <r>
    <n v="42"/>
    <x v="1"/>
    <x v="2"/>
    <n v="926"/>
    <x v="1"/>
    <n v="21"/>
    <n v="2"/>
    <s v="Medical"/>
    <n v="1"/>
    <n v="270"/>
    <n v="3"/>
    <s v="Female"/>
    <n v="36"/>
    <n v="3"/>
    <n v="2"/>
    <x v="3"/>
    <n v="3"/>
    <x v="2"/>
    <n v="5265"/>
    <n v="16439"/>
    <n v="2"/>
    <s v="Y"/>
    <x v="1"/>
    <n v="16"/>
    <n v="3"/>
    <n v="2"/>
    <n v="80"/>
    <n v="1"/>
    <n v="11"/>
    <n v="5"/>
    <x v="1"/>
    <n v="5"/>
    <n v="3"/>
    <n v="0"/>
    <n v="2"/>
    <x v="0"/>
    <x v="1"/>
  </r>
  <r>
    <n v="38"/>
    <x v="1"/>
    <x v="0"/>
    <n v="1261"/>
    <x v="1"/>
    <n v="2"/>
    <n v="4"/>
    <s v="Life Sciences"/>
    <n v="1"/>
    <n v="271"/>
    <n v="4"/>
    <s v="Male"/>
    <n v="88"/>
    <n v="3"/>
    <n v="2"/>
    <x v="3"/>
    <n v="3"/>
    <x v="1"/>
    <n v="6553"/>
    <n v="7259"/>
    <n v="9"/>
    <s v="Y"/>
    <x v="1"/>
    <n v="14"/>
    <n v="3"/>
    <n v="2"/>
    <n v="80"/>
    <n v="0"/>
    <n v="14"/>
    <n v="3"/>
    <x v="1"/>
    <n v="1"/>
    <n v="0"/>
    <n v="0"/>
    <n v="0"/>
    <x v="0"/>
    <x v="1"/>
  </r>
  <r>
    <n v="38"/>
    <x v="1"/>
    <x v="0"/>
    <n v="1084"/>
    <x v="1"/>
    <n v="29"/>
    <n v="3"/>
    <s v="Technical Degree"/>
    <n v="1"/>
    <n v="273"/>
    <n v="4"/>
    <s v="Male"/>
    <n v="54"/>
    <n v="3"/>
    <n v="2"/>
    <x v="3"/>
    <n v="4"/>
    <x v="1"/>
    <n v="6261"/>
    <n v="4185"/>
    <n v="3"/>
    <s v="Y"/>
    <x v="1"/>
    <n v="18"/>
    <n v="3"/>
    <n v="1"/>
    <n v="80"/>
    <n v="1"/>
    <n v="9"/>
    <n v="3"/>
    <x v="0"/>
    <n v="7"/>
    <n v="7"/>
    <n v="1"/>
    <n v="7"/>
    <x v="0"/>
    <x v="0"/>
  </r>
  <r>
    <n v="27"/>
    <x v="1"/>
    <x v="1"/>
    <n v="472"/>
    <x v="1"/>
    <n v="1"/>
    <n v="1"/>
    <s v="Technical Degree"/>
    <n v="1"/>
    <n v="274"/>
    <n v="3"/>
    <s v="Male"/>
    <n v="60"/>
    <n v="2"/>
    <n v="2"/>
    <x v="3"/>
    <n v="1"/>
    <x v="1"/>
    <n v="4298"/>
    <n v="9679"/>
    <n v="5"/>
    <s v="Y"/>
    <x v="1"/>
    <n v="19"/>
    <n v="3"/>
    <n v="3"/>
    <n v="80"/>
    <n v="1"/>
    <n v="6"/>
    <n v="1"/>
    <x v="1"/>
    <n v="2"/>
    <n v="2"/>
    <n v="2"/>
    <n v="0"/>
    <x v="1"/>
    <x v="1"/>
  </r>
  <r>
    <n v="49"/>
    <x v="1"/>
    <x v="2"/>
    <n v="1002"/>
    <x v="1"/>
    <n v="18"/>
    <n v="4"/>
    <s v="Life Sciences"/>
    <n v="1"/>
    <n v="275"/>
    <n v="4"/>
    <s v="Male"/>
    <n v="92"/>
    <n v="3"/>
    <n v="2"/>
    <x v="3"/>
    <n v="4"/>
    <x v="2"/>
    <n v="6804"/>
    <n v="23793"/>
    <n v="1"/>
    <s v="Y"/>
    <x v="0"/>
    <n v="15"/>
    <n v="3"/>
    <n v="1"/>
    <n v="80"/>
    <n v="2"/>
    <n v="7"/>
    <n v="0"/>
    <x v="1"/>
    <n v="7"/>
    <n v="7"/>
    <n v="1"/>
    <n v="7"/>
    <x v="0"/>
    <x v="1"/>
  </r>
  <r>
    <n v="34"/>
    <x v="1"/>
    <x v="1"/>
    <n v="878"/>
    <x v="1"/>
    <n v="10"/>
    <n v="4"/>
    <s v="Medical"/>
    <n v="1"/>
    <n v="277"/>
    <n v="4"/>
    <s v="Male"/>
    <n v="43"/>
    <n v="3"/>
    <n v="1"/>
    <x v="1"/>
    <n v="3"/>
    <x v="2"/>
    <n v="3815"/>
    <n v="5972"/>
    <n v="1"/>
    <s v="Y"/>
    <x v="0"/>
    <n v="17"/>
    <n v="3"/>
    <n v="4"/>
    <n v="80"/>
    <n v="1"/>
    <n v="5"/>
    <n v="4"/>
    <x v="3"/>
    <n v="5"/>
    <n v="3"/>
    <n v="2"/>
    <n v="0"/>
    <x v="0"/>
    <x v="3"/>
  </r>
  <r>
    <n v="40"/>
    <x v="1"/>
    <x v="0"/>
    <n v="905"/>
    <x v="1"/>
    <n v="19"/>
    <n v="2"/>
    <s v="Medical"/>
    <n v="1"/>
    <n v="281"/>
    <n v="3"/>
    <s v="Male"/>
    <n v="99"/>
    <n v="3"/>
    <n v="2"/>
    <x v="2"/>
    <n v="4"/>
    <x v="1"/>
    <n v="2741"/>
    <n v="16523"/>
    <n v="8"/>
    <s v="Y"/>
    <x v="0"/>
    <n v="15"/>
    <n v="3"/>
    <n v="3"/>
    <n v="80"/>
    <n v="1"/>
    <n v="15"/>
    <n v="2"/>
    <x v="3"/>
    <n v="7"/>
    <n v="2"/>
    <n v="3"/>
    <n v="7"/>
    <x v="0"/>
    <x v="3"/>
  </r>
  <r>
    <n v="38"/>
    <x v="0"/>
    <x v="0"/>
    <n v="1180"/>
    <x v="1"/>
    <n v="29"/>
    <n v="1"/>
    <s v="Medical"/>
    <n v="1"/>
    <n v="282"/>
    <n v="2"/>
    <s v="Male"/>
    <n v="70"/>
    <n v="3"/>
    <n v="2"/>
    <x v="4"/>
    <n v="1"/>
    <x v="1"/>
    <n v="6673"/>
    <n v="11354"/>
    <n v="7"/>
    <s v="Y"/>
    <x v="0"/>
    <n v="19"/>
    <n v="3"/>
    <n v="2"/>
    <n v="80"/>
    <n v="0"/>
    <n v="17"/>
    <n v="2"/>
    <x v="1"/>
    <n v="1"/>
    <n v="0"/>
    <n v="0"/>
    <n v="0"/>
    <x v="0"/>
    <x v="1"/>
  </r>
  <r>
    <n v="29"/>
    <x v="0"/>
    <x v="0"/>
    <n v="121"/>
    <x v="0"/>
    <n v="27"/>
    <n v="3"/>
    <s v="Marketing"/>
    <n v="1"/>
    <n v="283"/>
    <n v="2"/>
    <s v="Female"/>
    <n v="35"/>
    <n v="3"/>
    <n v="3"/>
    <x v="0"/>
    <n v="4"/>
    <x v="1"/>
    <n v="7639"/>
    <n v="24525"/>
    <n v="1"/>
    <s v="Y"/>
    <x v="1"/>
    <n v="22"/>
    <n v="4"/>
    <n v="4"/>
    <n v="80"/>
    <n v="3"/>
    <n v="10"/>
    <n v="3"/>
    <x v="2"/>
    <n v="10"/>
    <n v="4"/>
    <n v="1"/>
    <n v="9"/>
    <x v="1"/>
    <x v="2"/>
  </r>
  <r>
    <n v="22"/>
    <x v="1"/>
    <x v="0"/>
    <n v="1136"/>
    <x v="1"/>
    <n v="5"/>
    <n v="3"/>
    <s v="Life Sciences"/>
    <n v="1"/>
    <n v="284"/>
    <n v="4"/>
    <s v="Male"/>
    <n v="60"/>
    <n v="4"/>
    <n v="1"/>
    <x v="1"/>
    <n v="2"/>
    <x v="2"/>
    <n v="2328"/>
    <n v="12392"/>
    <n v="1"/>
    <s v="Y"/>
    <x v="0"/>
    <n v="16"/>
    <n v="3"/>
    <n v="1"/>
    <n v="80"/>
    <n v="1"/>
    <n v="4"/>
    <n v="2"/>
    <x v="2"/>
    <n v="4"/>
    <n v="2"/>
    <n v="2"/>
    <n v="2"/>
    <x v="1"/>
    <x v="2"/>
  </r>
  <r>
    <n v="36"/>
    <x v="1"/>
    <x v="1"/>
    <n v="635"/>
    <x v="1"/>
    <n v="18"/>
    <n v="1"/>
    <s v="Medical"/>
    <n v="1"/>
    <n v="286"/>
    <n v="2"/>
    <s v="Female"/>
    <n v="73"/>
    <n v="3"/>
    <n v="1"/>
    <x v="2"/>
    <n v="4"/>
    <x v="0"/>
    <n v="2153"/>
    <n v="7703"/>
    <n v="1"/>
    <s v="Y"/>
    <x v="1"/>
    <n v="13"/>
    <n v="3"/>
    <n v="1"/>
    <n v="80"/>
    <n v="0"/>
    <n v="8"/>
    <n v="2"/>
    <x v="1"/>
    <n v="8"/>
    <n v="1"/>
    <n v="1"/>
    <n v="7"/>
    <x v="0"/>
    <x v="1"/>
  </r>
  <r>
    <n v="40"/>
    <x v="1"/>
    <x v="2"/>
    <n v="1151"/>
    <x v="1"/>
    <n v="9"/>
    <n v="5"/>
    <s v="Life Sciences"/>
    <n v="1"/>
    <n v="287"/>
    <n v="4"/>
    <s v="Male"/>
    <n v="63"/>
    <n v="2"/>
    <n v="2"/>
    <x v="4"/>
    <n v="4"/>
    <x v="1"/>
    <n v="4876"/>
    <n v="14242"/>
    <n v="9"/>
    <s v="Y"/>
    <x v="1"/>
    <n v="14"/>
    <n v="3"/>
    <n v="4"/>
    <n v="80"/>
    <n v="1"/>
    <n v="5"/>
    <n v="5"/>
    <x v="0"/>
    <n v="3"/>
    <n v="2"/>
    <n v="0"/>
    <n v="2"/>
    <x v="0"/>
    <x v="0"/>
  </r>
  <r>
    <n v="46"/>
    <x v="1"/>
    <x v="0"/>
    <n v="644"/>
    <x v="1"/>
    <n v="1"/>
    <n v="4"/>
    <s v="Medical"/>
    <n v="1"/>
    <n v="288"/>
    <n v="4"/>
    <s v="Male"/>
    <n v="97"/>
    <n v="3"/>
    <n v="3"/>
    <x v="4"/>
    <n v="1"/>
    <x v="2"/>
    <n v="9396"/>
    <n v="12368"/>
    <n v="7"/>
    <s v="Y"/>
    <x v="1"/>
    <n v="16"/>
    <n v="3"/>
    <n v="3"/>
    <n v="80"/>
    <n v="1"/>
    <n v="17"/>
    <n v="3"/>
    <x v="1"/>
    <n v="4"/>
    <n v="2"/>
    <n v="0"/>
    <n v="3"/>
    <x v="0"/>
    <x v="1"/>
  </r>
  <r>
    <n v="32"/>
    <x v="0"/>
    <x v="0"/>
    <n v="1045"/>
    <x v="0"/>
    <n v="4"/>
    <n v="4"/>
    <s v="Medical"/>
    <n v="1"/>
    <n v="291"/>
    <n v="4"/>
    <s v="Male"/>
    <n v="32"/>
    <n v="1"/>
    <n v="3"/>
    <x v="0"/>
    <n v="4"/>
    <x v="1"/>
    <n v="10400"/>
    <n v="25812"/>
    <n v="1"/>
    <s v="Y"/>
    <x v="1"/>
    <n v="11"/>
    <n v="3"/>
    <n v="3"/>
    <n v="80"/>
    <n v="0"/>
    <n v="14"/>
    <n v="2"/>
    <x v="2"/>
    <n v="14"/>
    <n v="8"/>
    <n v="9"/>
    <n v="8"/>
    <x v="0"/>
    <x v="2"/>
  </r>
  <r>
    <n v="30"/>
    <x v="1"/>
    <x v="2"/>
    <n v="829"/>
    <x v="1"/>
    <n v="1"/>
    <n v="1"/>
    <s v="Life Sciences"/>
    <n v="1"/>
    <n v="292"/>
    <n v="3"/>
    <s v="Male"/>
    <n v="88"/>
    <n v="2"/>
    <n v="3"/>
    <x v="3"/>
    <n v="3"/>
    <x v="0"/>
    <n v="8474"/>
    <n v="20925"/>
    <n v="1"/>
    <s v="Y"/>
    <x v="1"/>
    <n v="22"/>
    <n v="4"/>
    <n v="3"/>
    <n v="80"/>
    <n v="0"/>
    <n v="12"/>
    <n v="2"/>
    <x v="1"/>
    <n v="11"/>
    <n v="8"/>
    <n v="5"/>
    <n v="8"/>
    <x v="1"/>
    <x v="1"/>
  </r>
  <r>
    <n v="27"/>
    <x v="1"/>
    <x v="1"/>
    <n v="1242"/>
    <x v="0"/>
    <n v="20"/>
    <n v="3"/>
    <s v="Life Sciences"/>
    <n v="1"/>
    <n v="293"/>
    <n v="4"/>
    <s v="Female"/>
    <n v="90"/>
    <n v="3"/>
    <n v="2"/>
    <x v="0"/>
    <n v="3"/>
    <x v="0"/>
    <n v="9981"/>
    <n v="12916"/>
    <n v="1"/>
    <s v="Y"/>
    <x v="1"/>
    <n v="14"/>
    <n v="3"/>
    <n v="4"/>
    <n v="80"/>
    <n v="0"/>
    <n v="7"/>
    <n v="2"/>
    <x v="1"/>
    <n v="7"/>
    <n v="7"/>
    <n v="0"/>
    <n v="7"/>
    <x v="1"/>
    <x v="1"/>
  </r>
  <r>
    <n v="51"/>
    <x v="1"/>
    <x v="0"/>
    <n v="1469"/>
    <x v="1"/>
    <n v="8"/>
    <n v="4"/>
    <s v="Life Sciences"/>
    <n v="1"/>
    <n v="296"/>
    <n v="2"/>
    <s v="Male"/>
    <n v="81"/>
    <n v="2"/>
    <n v="3"/>
    <x v="7"/>
    <n v="2"/>
    <x v="1"/>
    <n v="12490"/>
    <n v="15736"/>
    <n v="5"/>
    <s v="Y"/>
    <x v="1"/>
    <n v="16"/>
    <n v="3"/>
    <n v="4"/>
    <n v="80"/>
    <n v="2"/>
    <n v="16"/>
    <n v="5"/>
    <x v="0"/>
    <n v="10"/>
    <n v="9"/>
    <n v="4"/>
    <n v="7"/>
    <x v="2"/>
    <x v="0"/>
  </r>
  <r>
    <n v="30"/>
    <x v="0"/>
    <x v="0"/>
    <n v="1005"/>
    <x v="1"/>
    <n v="3"/>
    <n v="3"/>
    <s v="Technical Degree"/>
    <n v="1"/>
    <n v="297"/>
    <n v="4"/>
    <s v="Female"/>
    <n v="88"/>
    <n v="3"/>
    <n v="1"/>
    <x v="1"/>
    <n v="1"/>
    <x v="0"/>
    <n v="2657"/>
    <n v="8556"/>
    <n v="5"/>
    <s v="Y"/>
    <x v="0"/>
    <n v="11"/>
    <n v="3"/>
    <n v="3"/>
    <n v="80"/>
    <n v="0"/>
    <n v="8"/>
    <n v="5"/>
    <x v="1"/>
    <n v="5"/>
    <n v="2"/>
    <n v="0"/>
    <n v="4"/>
    <x v="1"/>
    <x v="1"/>
  </r>
  <r>
    <n v="41"/>
    <x v="1"/>
    <x v="0"/>
    <n v="896"/>
    <x v="0"/>
    <n v="6"/>
    <n v="3"/>
    <s v="Life Sciences"/>
    <n v="1"/>
    <n v="298"/>
    <n v="4"/>
    <s v="Female"/>
    <n v="75"/>
    <n v="3"/>
    <n v="3"/>
    <x v="5"/>
    <n v="4"/>
    <x v="0"/>
    <n v="13591"/>
    <n v="14674"/>
    <n v="3"/>
    <s v="Y"/>
    <x v="0"/>
    <n v="18"/>
    <n v="3"/>
    <n v="3"/>
    <n v="80"/>
    <n v="0"/>
    <n v="16"/>
    <n v="3"/>
    <x v="1"/>
    <n v="1"/>
    <n v="0"/>
    <n v="0"/>
    <n v="0"/>
    <x v="0"/>
    <x v="1"/>
  </r>
  <r>
    <n v="30"/>
    <x v="0"/>
    <x v="1"/>
    <n v="334"/>
    <x v="0"/>
    <n v="26"/>
    <n v="4"/>
    <s v="Marketing"/>
    <n v="1"/>
    <n v="299"/>
    <n v="3"/>
    <s v="Female"/>
    <n v="52"/>
    <n v="2"/>
    <n v="2"/>
    <x v="0"/>
    <n v="1"/>
    <x v="0"/>
    <n v="6696"/>
    <n v="22967"/>
    <n v="5"/>
    <s v="Y"/>
    <x v="1"/>
    <n v="15"/>
    <n v="3"/>
    <n v="3"/>
    <n v="80"/>
    <n v="0"/>
    <n v="9"/>
    <n v="5"/>
    <x v="2"/>
    <n v="6"/>
    <n v="3"/>
    <n v="0"/>
    <n v="1"/>
    <x v="1"/>
    <x v="2"/>
  </r>
  <r>
    <n v="29"/>
    <x v="0"/>
    <x v="0"/>
    <n v="992"/>
    <x v="1"/>
    <n v="1"/>
    <n v="3"/>
    <s v="Technical Degree"/>
    <n v="1"/>
    <n v="300"/>
    <n v="3"/>
    <s v="Male"/>
    <n v="85"/>
    <n v="3"/>
    <n v="1"/>
    <x v="1"/>
    <n v="3"/>
    <x v="0"/>
    <n v="2058"/>
    <n v="19757"/>
    <n v="0"/>
    <s v="Y"/>
    <x v="1"/>
    <n v="14"/>
    <n v="3"/>
    <n v="4"/>
    <n v="80"/>
    <n v="0"/>
    <n v="7"/>
    <n v="1"/>
    <x v="2"/>
    <n v="6"/>
    <n v="2"/>
    <n v="1"/>
    <n v="5"/>
    <x v="1"/>
    <x v="2"/>
  </r>
  <r>
    <n v="45"/>
    <x v="1"/>
    <x v="2"/>
    <n v="1052"/>
    <x v="0"/>
    <n v="6"/>
    <n v="3"/>
    <s v="Medical"/>
    <n v="1"/>
    <n v="302"/>
    <n v="4"/>
    <s v="Female"/>
    <n v="57"/>
    <n v="2"/>
    <n v="3"/>
    <x v="0"/>
    <n v="4"/>
    <x v="0"/>
    <n v="8865"/>
    <n v="16840"/>
    <n v="6"/>
    <s v="Y"/>
    <x v="1"/>
    <n v="12"/>
    <n v="3"/>
    <n v="4"/>
    <n v="80"/>
    <n v="0"/>
    <n v="23"/>
    <n v="2"/>
    <x v="1"/>
    <n v="19"/>
    <n v="7"/>
    <n v="12"/>
    <n v="8"/>
    <x v="0"/>
    <x v="1"/>
  </r>
  <r>
    <n v="54"/>
    <x v="1"/>
    <x v="0"/>
    <n v="1147"/>
    <x v="0"/>
    <n v="3"/>
    <n v="3"/>
    <s v="Marketing"/>
    <n v="1"/>
    <n v="303"/>
    <n v="4"/>
    <s v="Female"/>
    <n v="52"/>
    <n v="3"/>
    <n v="2"/>
    <x v="0"/>
    <n v="1"/>
    <x v="1"/>
    <n v="5940"/>
    <n v="17011"/>
    <n v="2"/>
    <s v="Y"/>
    <x v="1"/>
    <n v="14"/>
    <n v="3"/>
    <n v="4"/>
    <n v="80"/>
    <n v="1"/>
    <n v="16"/>
    <n v="4"/>
    <x v="1"/>
    <n v="6"/>
    <n v="2"/>
    <n v="0"/>
    <n v="5"/>
    <x v="2"/>
    <x v="1"/>
  </r>
  <r>
    <n v="36"/>
    <x v="1"/>
    <x v="0"/>
    <n v="1396"/>
    <x v="1"/>
    <n v="5"/>
    <n v="2"/>
    <s v="Life Sciences"/>
    <n v="1"/>
    <n v="304"/>
    <n v="4"/>
    <s v="Male"/>
    <n v="62"/>
    <n v="3"/>
    <n v="2"/>
    <x v="2"/>
    <n v="2"/>
    <x v="0"/>
    <n v="5914"/>
    <n v="9945"/>
    <n v="8"/>
    <s v="Y"/>
    <x v="1"/>
    <n v="16"/>
    <n v="3"/>
    <n v="4"/>
    <n v="80"/>
    <n v="0"/>
    <n v="16"/>
    <n v="3"/>
    <x v="3"/>
    <n v="13"/>
    <n v="11"/>
    <n v="3"/>
    <n v="7"/>
    <x v="0"/>
    <x v="3"/>
  </r>
  <r>
    <n v="33"/>
    <x v="1"/>
    <x v="0"/>
    <n v="147"/>
    <x v="1"/>
    <n v="4"/>
    <n v="4"/>
    <s v="Medical"/>
    <n v="1"/>
    <n v="305"/>
    <n v="3"/>
    <s v="Female"/>
    <n v="47"/>
    <n v="2"/>
    <n v="1"/>
    <x v="1"/>
    <n v="2"/>
    <x v="1"/>
    <n v="2622"/>
    <n v="13248"/>
    <n v="6"/>
    <s v="Y"/>
    <x v="1"/>
    <n v="21"/>
    <n v="4"/>
    <n v="4"/>
    <n v="80"/>
    <n v="0"/>
    <n v="7"/>
    <n v="3"/>
    <x v="1"/>
    <n v="3"/>
    <n v="2"/>
    <n v="1"/>
    <n v="1"/>
    <x v="0"/>
    <x v="1"/>
  </r>
  <r>
    <n v="37"/>
    <x v="1"/>
    <x v="1"/>
    <n v="663"/>
    <x v="1"/>
    <n v="11"/>
    <n v="3"/>
    <s v="Other"/>
    <n v="1"/>
    <n v="306"/>
    <n v="2"/>
    <s v="Male"/>
    <n v="47"/>
    <n v="3"/>
    <n v="3"/>
    <x v="7"/>
    <n v="4"/>
    <x v="2"/>
    <n v="12185"/>
    <n v="10056"/>
    <n v="1"/>
    <s v="Y"/>
    <x v="0"/>
    <n v="14"/>
    <n v="3"/>
    <n v="3"/>
    <n v="80"/>
    <n v="3"/>
    <n v="10"/>
    <n v="1"/>
    <x v="1"/>
    <n v="10"/>
    <n v="8"/>
    <n v="0"/>
    <n v="7"/>
    <x v="0"/>
    <x v="1"/>
  </r>
  <r>
    <n v="38"/>
    <x v="1"/>
    <x v="0"/>
    <n v="119"/>
    <x v="0"/>
    <n v="3"/>
    <n v="3"/>
    <s v="Life Sciences"/>
    <n v="1"/>
    <n v="307"/>
    <n v="1"/>
    <s v="Male"/>
    <n v="76"/>
    <n v="3"/>
    <n v="3"/>
    <x v="0"/>
    <n v="3"/>
    <x v="2"/>
    <n v="10609"/>
    <n v="9647"/>
    <n v="0"/>
    <s v="Y"/>
    <x v="1"/>
    <n v="12"/>
    <n v="3"/>
    <n v="3"/>
    <n v="80"/>
    <n v="2"/>
    <n v="17"/>
    <n v="6"/>
    <x v="2"/>
    <n v="16"/>
    <n v="10"/>
    <n v="5"/>
    <n v="13"/>
    <x v="0"/>
    <x v="2"/>
  </r>
  <r>
    <n v="31"/>
    <x v="1"/>
    <x v="2"/>
    <n v="979"/>
    <x v="1"/>
    <n v="1"/>
    <n v="4"/>
    <s v="Medical"/>
    <n v="1"/>
    <n v="308"/>
    <n v="3"/>
    <s v="Male"/>
    <n v="90"/>
    <n v="1"/>
    <n v="2"/>
    <x v="3"/>
    <n v="3"/>
    <x v="1"/>
    <n v="4345"/>
    <n v="4381"/>
    <n v="0"/>
    <s v="Y"/>
    <x v="1"/>
    <n v="12"/>
    <n v="3"/>
    <n v="4"/>
    <n v="80"/>
    <n v="1"/>
    <n v="6"/>
    <n v="2"/>
    <x v="1"/>
    <n v="5"/>
    <n v="4"/>
    <n v="1"/>
    <n v="4"/>
    <x v="0"/>
    <x v="1"/>
  </r>
  <r>
    <n v="59"/>
    <x v="1"/>
    <x v="0"/>
    <n v="142"/>
    <x v="1"/>
    <n v="3"/>
    <n v="3"/>
    <s v="Life Sciences"/>
    <n v="1"/>
    <n v="309"/>
    <n v="3"/>
    <s v="Male"/>
    <n v="70"/>
    <n v="2"/>
    <n v="1"/>
    <x v="1"/>
    <n v="4"/>
    <x v="1"/>
    <n v="2177"/>
    <n v="8456"/>
    <n v="3"/>
    <s v="Y"/>
    <x v="1"/>
    <n v="17"/>
    <n v="3"/>
    <n v="1"/>
    <n v="80"/>
    <n v="1"/>
    <n v="7"/>
    <n v="6"/>
    <x v="1"/>
    <n v="1"/>
    <n v="0"/>
    <n v="0"/>
    <n v="0"/>
    <x v="2"/>
    <x v="1"/>
  </r>
  <r>
    <n v="37"/>
    <x v="1"/>
    <x v="1"/>
    <n v="319"/>
    <x v="0"/>
    <n v="4"/>
    <n v="4"/>
    <s v="Marketing"/>
    <n v="1"/>
    <n v="311"/>
    <n v="1"/>
    <s v="Male"/>
    <n v="41"/>
    <n v="3"/>
    <n v="1"/>
    <x v="6"/>
    <n v="4"/>
    <x v="2"/>
    <n v="2793"/>
    <n v="2539"/>
    <n v="4"/>
    <s v="Y"/>
    <x v="1"/>
    <n v="17"/>
    <n v="3"/>
    <n v="3"/>
    <n v="80"/>
    <n v="1"/>
    <n v="13"/>
    <n v="2"/>
    <x v="1"/>
    <n v="9"/>
    <n v="8"/>
    <n v="5"/>
    <n v="8"/>
    <x v="0"/>
    <x v="1"/>
  </r>
  <r>
    <n v="29"/>
    <x v="1"/>
    <x v="1"/>
    <n v="1413"/>
    <x v="0"/>
    <n v="1"/>
    <n v="1"/>
    <s v="Medical"/>
    <n v="1"/>
    <n v="312"/>
    <n v="2"/>
    <s v="Female"/>
    <n v="42"/>
    <n v="3"/>
    <n v="3"/>
    <x v="0"/>
    <n v="4"/>
    <x v="1"/>
    <n v="7918"/>
    <n v="6599"/>
    <n v="1"/>
    <s v="Y"/>
    <x v="1"/>
    <n v="14"/>
    <n v="3"/>
    <n v="4"/>
    <n v="80"/>
    <n v="1"/>
    <n v="11"/>
    <n v="5"/>
    <x v="1"/>
    <n v="11"/>
    <n v="10"/>
    <n v="4"/>
    <n v="1"/>
    <x v="1"/>
    <x v="1"/>
  </r>
  <r>
    <n v="35"/>
    <x v="1"/>
    <x v="1"/>
    <n v="944"/>
    <x v="0"/>
    <n v="1"/>
    <n v="3"/>
    <s v="Marketing"/>
    <n v="1"/>
    <n v="314"/>
    <n v="3"/>
    <s v="Female"/>
    <n v="92"/>
    <n v="3"/>
    <n v="3"/>
    <x v="0"/>
    <n v="3"/>
    <x v="0"/>
    <n v="8789"/>
    <n v="9096"/>
    <n v="1"/>
    <s v="Y"/>
    <x v="1"/>
    <n v="14"/>
    <n v="3"/>
    <n v="1"/>
    <n v="80"/>
    <n v="0"/>
    <n v="10"/>
    <n v="3"/>
    <x v="3"/>
    <n v="10"/>
    <n v="7"/>
    <n v="0"/>
    <n v="8"/>
    <x v="0"/>
    <x v="3"/>
  </r>
  <r>
    <n v="29"/>
    <x v="0"/>
    <x v="0"/>
    <n v="896"/>
    <x v="1"/>
    <n v="18"/>
    <n v="1"/>
    <s v="Medical"/>
    <n v="1"/>
    <n v="315"/>
    <n v="3"/>
    <s v="Male"/>
    <n v="86"/>
    <n v="2"/>
    <n v="1"/>
    <x v="1"/>
    <n v="4"/>
    <x v="0"/>
    <n v="2389"/>
    <n v="14961"/>
    <n v="1"/>
    <s v="Y"/>
    <x v="0"/>
    <n v="13"/>
    <n v="3"/>
    <n v="3"/>
    <n v="80"/>
    <n v="0"/>
    <n v="4"/>
    <n v="3"/>
    <x v="2"/>
    <n v="4"/>
    <n v="3"/>
    <n v="0"/>
    <n v="1"/>
    <x v="1"/>
    <x v="2"/>
  </r>
  <r>
    <n v="52"/>
    <x v="1"/>
    <x v="0"/>
    <n v="1323"/>
    <x v="1"/>
    <n v="2"/>
    <n v="3"/>
    <s v="Life Sciences"/>
    <n v="1"/>
    <n v="316"/>
    <n v="3"/>
    <s v="Female"/>
    <n v="89"/>
    <n v="2"/>
    <n v="1"/>
    <x v="2"/>
    <n v="4"/>
    <x v="0"/>
    <n v="3212"/>
    <n v="3300"/>
    <n v="7"/>
    <s v="Y"/>
    <x v="1"/>
    <n v="15"/>
    <n v="3"/>
    <n v="2"/>
    <n v="80"/>
    <n v="0"/>
    <n v="6"/>
    <n v="3"/>
    <x v="2"/>
    <n v="2"/>
    <n v="2"/>
    <n v="2"/>
    <n v="2"/>
    <x v="2"/>
    <x v="2"/>
  </r>
  <r>
    <n v="42"/>
    <x v="1"/>
    <x v="0"/>
    <n v="532"/>
    <x v="1"/>
    <n v="4"/>
    <n v="2"/>
    <s v="Technical Degree"/>
    <n v="1"/>
    <n v="319"/>
    <n v="3"/>
    <s v="Male"/>
    <n v="58"/>
    <n v="3"/>
    <n v="5"/>
    <x v="5"/>
    <n v="4"/>
    <x v="1"/>
    <n v="19232"/>
    <n v="4933"/>
    <n v="1"/>
    <s v="Y"/>
    <x v="1"/>
    <n v="11"/>
    <n v="3"/>
    <n v="4"/>
    <n v="80"/>
    <n v="0"/>
    <n v="22"/>
    <n v="3"/>
    <x v="1"/>
    <n v="22"/>
    <n v="17"/>
    <n v="11"/>
    <n v="15"/>
    <x v="0"/>
    <x v="1"/>
  </r>
  <r>
    <n v="59"/>
    <x v="1"/>
    <x v="0"/>
    <n v="818"/>
    <x v="2"/>
    <n v="6"/>
    <n v="2"/>
    <s v="Medical"/>
    <n v="1"/>
    <n v="321"/>
    <n v="2"/>
    <s v="Male"/>
    <n v="52"/>
    <n v="3"/>
    <n v="1"/>
    <x v="8"/>
    <n v="3"/>
    <x v="1"/>
    <n v="2267"/>
    <n v="25657"/>
    <n v="8"/>
    <s v="Y"/>
    <x v="1"/>
    <n v="17"/>
    <n v="3"/>
    <n v="4"/>
    <n v="80"/>
    <n v="0"/>
    <n v="7"/>
    <n v="2"/>
    <x v="2"/>
    <n v="2"/>
    <n v="2"/>
    <n v="2"/>
    <n v="2"/>
    <x v="2"/>
    <x v="2"/>
  </r>
  <r>
    <n v="50"/>
    <x v="1"/>
    <x v="0"/>
    <n v="854"/>
    <x v="0"/>
    <n v="1"/>
    <n v="4"/>
    <s v="Medical"/>
    <n v="1"/>
    <n v="323"/>
    <n v="4"/>
    <s v="Female"/>
    <n v="68"/>
    <n v="3"/>
    <n v="5"/>
    <x v="5"/>
    <n v="4"/>
    <x v="2"/>
    <n v="19517"/>
    <n v="24118"/>
    <n v="3"/>
    <s v="Y"/>
    <x v="1"/>
    <n v="11"/>
    <n v="3"/>
    <n v="3"/>
    <n v="80"/>
    <n v="1"/>
    <n v="32"/>
    <n v="3"/>
    <x v="2"/>
    <n v="7"/>
    <n v="0"/>
    <n v="0"/>
    <n v="6"/>
    <x v="0"/>
    <x v="2"/>
  </r>
  <r>
    <n v="33"/>
    <x v="0"/>
    <x v="0"/>
    <n v="813"/>
    <x v="1"/>
    <n v="14"/>
    <n v="3"/>
    <s v="Medical"/>
    <n v="1"/>
    <n v="325"/>
    <n v="3"/>
    <s v="Male"/>
    <n v="58"/>
    <n v="3"/>
    <n v="1"/>
    <x v="2"/>
    <n v="4"/>
    <x v="1"/>
    <n v="2436"/>
    <n v="22149"/>
    <n v="5"/>
    <s v="Y"/>
    <x v="0"/>
    <n v="13"/>
    <n v="3"/>
    <n v="3"/>
    <n v="80"/>
    <n v="1"/>
    <n v="8"/>
    <n v="2"/>
    <x v="0"/>
    <n v="5"/>
    <n v="4"/>
    <n v="0"/>
    <n v="4"/>
    <x v="0"/>
    <x v="0"/>
  </r>
  <r>
    <n v="43"/>
    <x v="1"/>
    <x v="0"/>
    <n v="1034"/>
    <x v="0"/>
    <n v="16"/>
    <n v="3"/>
    <s v="Marketing"/>
    <n v="1"/>
    <n v="327"/>
    <n v="4"/>
    <s v="Female"/>
    <n v="80"/>
    <n v="3"/>
    <n v="4"/>
    <x v="5"/>
    <n v="4"/>
    <x v="1"/>
    <n v="16064"/>
    <n v="7744"/>
    <n v="5"/>
    <s v="Y"/>
    <x v="0"/>
    <n v="22"/>
    <n v="4"/>
    <n v="3"/>
    <n v="80"/>
    <n v="1"/>
    <n v="22"/>
    <n v="3"/>
    <x v="1"/>
    <n v="17"/>
    <n v="13"/>
    <n v="1"/>
    <n v="9"/>
    <x v="0"/>
    <x v="1"/>
  </r>
  <r>
    <n v="33"/>
    <x v="0"/>
    <x v="0"/>
    <n v="465"/>
    <x v="1"/>
    <n v="2"/>
    <n v="2"/>
    <s v="Life Sciences"/>
    <n v="1"/>
    <n v="328"/>
    <n v="1"/>
    <s v="Female"/>
    <n v="39"/>
    <n v="3"/>
    <n v="1"/>
    <x v="2"/>
    <n v="1"/>
    <x v="1"/>
    <n v="2707"/>
    <n v="21509"/>
    <n v="7"/>
    <s v="Y"/>
    <x v="1"/>
    <n v="20"/>
    <n v="4"/>
    <n v="1"/>
    <n v="80"/>
    <n v="0"/>
    <n v="13"/>
    <n v="3"/>
    <x v="3"/>
    <n v="9"/>
    <n v="7"/>
    <n v="1"/>
    <n v="7"/>
    <x v="0"/>
    <x v="3"/>
  </r>
  <r>
    <n v="52"/>
    <x v="1"/>
    <x v="2"/>
    <n v="771"/>
    <x v="0"/>
    <n v="2"/>
    <n v="4"/>
    <s v="Life Sciences"/>
    <n v="1"/>
    <n v="329"/>
    <n v="1"/>
    <s v="Male"/>
    <n v="79"/>
    <n v="2"/>
    <n v="5"/>
    <x v="5"/>
    <n v="3"/>
    <x v="0"/>
    <n v="19068"/>
    <n v="21030"/>
    <n v="1"/>
    <s v="Y"/>
    <x v="0"/>
    <n v="18"/>
    <n v="3"/>
    <n v="4"/>
    <n v="80"/>
    <n v="0"/>
    <n v="33"/>
    <n v="2"/>
    <x v="3"/>
    <n v="33"/>
    <n v="7"/>
    <n v="15"/>
    <n v="12"/>
    <x v="2"/>
    <x v="3"/>
  </r>
  <r>
    <n v="32"/>
    <x v="1"/>
    <x v="0"/>
    <n v="1401"/>
    <x v="0"/>
    <n v="4"/>
    <n v="2"/>
    <s v="Life Sciences"/>
    <n v="1"/>
    <n v="330"/>
    <n v="3"/>
    <s v="Female"/>
    <n v="56"/>
    <n v="3"/>
    <n v="1"/>
    <x v="6"/>
    <n v="2"/>
    <x v="1"/>
    <n v="3931"/>
    <n v="20990"/>
    <n v="2"/>
    <s v="Y"/>
    <x v="1"/>
    <n v="11"/>
    <n v="3"/>
    <n v="1"/>
    <n v="80"/>
    <n v="1"/>
    <n v="6"/>
    <n v="5"/>
    <x v="1"/>
    <n v="4"/>
    <n v="3"/>
    <n v="1"/>
    <n v="2"/>
    <x v="0"/>
    <x v="1"/>
  </r>
  <r>
    <n v="32"/>
    <x v="0"/>
    <x v="0"/>
    <n v="515"/>
    <x v="1"/>
    <n v="1"/>
    <n v="3"/>
    <s v="Life Sciences"/>
    <n v="1"/>
    <n v="331"/>
    <n v="4"/>
    <s v="Male"/>
    <n v="62"/>
    <n v="2"/>
    <n v="1"/>
    <x v="2"/>
    <n v="3"/>
    <x v="0"/>
    <n v="3730"/>
    <n v="9571"/>
    <n v="0"/>
    <s v="Y"/>
    <x v="0"/>
    <n v="14"/>
    <n v="3"/>
    <n v="4"/>
    <n v="80"/>
    <n v="0"/>
    <n v="4"/>
    <n v="2"/>
    <x v="0"/>
    <n v="3"/>
    <n v="2"/>
    <n v="1"/>
    <n v="2"/>
    <x v="0"/>
    <x v="0"/>
  </r>
  <r>
    <n v="39"/>
    <x v="1"/>
    <x v="0"/>
    <n v="1431"/>
    <x v="1"/>
    <n v="1"/>
    <n v="4"/>
    <s v="Medical"/>
    <n v="1"/>
    <n v="332"/>
    <n v="3"/>
    <s v="Female"/>
    <n v="96"/>
    <n v="3"/>
    <n v="1"/>
    <x v="2"/>
    <n v="3"/>
    <x v="2"/>
    <n v="2232"/>
    <n v="15417"/>
    <n v="7"/>
    <s v="Y"/>
    <x v="1"/>
    <n v="14"/>
    <n v="3"/>
    <n v="3"/>
    <n v="80"/>
    <n v="3"/>
    <n v="7"/>
    <n v="1"/>
    <x v="1"/>
    <n v="3"/>
    <n v="2"/>
    <n v="1"/>
    <n v="2"/>
    <x v="0"/>
    <x v="1"/>
  </r>
  <r>
    <n v="32"/>
    <x v="1"/>
    <x v="2"/>
    <n v="976"/>
    <x v="0"/>
    <n v="26"/>
    <n v="4"/>
    <s v="Marketing"/>
    <n v="1"/>
    <n v="333"/>
    <n v="3"/>
    <s v="Male"/>
    <n v="100"/>
    <n v="3"/>
    <n v="2"/>
    <x v="0"/>
    <n v="4"/>
    <x v="1"/>
    <n v="4465"/>
    <n v="12069"/>
    <n v="0"/>
    <s v="Y"/>
    <x v="1"/>
    <n v="18"/>
    <n v="3"/>
    <n v="1"/>
    <n v="80"/>
    <n v="0"/>
    <n v="4"/>
    <n v="2"/>
    <x v="1"/>
    <n v="3"/>
    <n v="2"/>
    <n v="2"/>
    <n v="2"/>
    <x v="0"/>
    <x v="1"/>
  </r>
  <r>
    <n v="41"/>
    <x v="1"/>
    <x v="0"/>
    <n v="1411"/>
    <x v="1"/>
    <n v="19"/>
    <n v="2"/>
    <s v="Life Sciences"/>
    <n v="1"/>
    <n v="334"/>
    <n v="3"/>
    <s v="Male"/>
    <n v="36"/>
    <n v="3"/>
    <n v="2"/>
    <x v="1"/>
    <n v="1"/>
    <x v="2"/>
    <n v="3072"/>
    <n v="19877"/>
    <n v="2"/>
    <s v="Y"/>
    <x v="1"/>
    <n v="16"/>
    <n v="3"/>
    <n v="1"/>
    <n v="80"/>
    <n v="2"/>
    <n v="17"/>
    <n v="2"/>
    <x v="2"/>
    <n v="1"/>
    <n v="0"/>
    <n v="0"/>
    <n v="0"/>
    <x v="0"/>
    <x v="2"/>
  </r>
  <r>
    <n v="40"/>
    <x v="1"/>
    <x v="0"/>
    <n v="1300"/>
    <x v="1"/>
    <n v="24"/>
    <n v="2"/>
    <s v="Technical Degree"/>
    <n v="1"/>
    <n v="335"/>
    <n v="1"/>
    <s v="Male"/>
    <n v="62"/>
    <n v="3"/>
    <n v="2"/>
    <x v="1"/>
    <n v="4"/>
    <x v="2"/>
    <n v="3319"/>
    <n v="24447"/>
    <n v="1"/>
    <s v="Y"/>
    <x v="1"/>
    <n v="17"/>
    <n v="3"/>
    <n v="1"/>
    <n v="80"/>
    <n v="2"/>
    <n v="9"/>
    <n v="3"/>
    <x v="1"/>
    <n v="9"/>
    <n v="8"/>
    <n v="4"/>
    <n v="7"/>
    <x v="0"/>
    <x v="1"/>
  </r>
  <r>
    <n v="45"/>
    <x v="1"/>
    <x v="0"/>
    <n v="252"/>
    <x v="1"/>
    <n v="1"/>
    <n v="3"/>
    <s v="Other"/>
    <n v="1"/>
    <n v="336"/>
    <n v="3"/>
    <s v="Male"/>
    <n v="70"/>
    <n v="4"/>
    <n v="5"/>
    <x v="5"/>
    <n v="4"/>
    <x v="1"/>
    <n v="19202"/>
    <n v="15970"/>
    <n v="0"/>
    <s v="Y"/>
    <x v="1"/>
    <n v="11"/>
    <n v="3"/>
    <n v="3"/>
    <n v="80"/>
    <n v="1"/>
    <n v="25"/>
    <n v="2"/>
    <x v="1"/>
    <n v="24"/>
    <n v="0"/>
    <n v="1"/>
    <n v="7"/>
    <x v="0"/>
    <x v="1"/>
  </r>
  <r>
    <n v="31"/>
    <x v="1"/>
    <x v="1"/>
    <n v="1327"/>
    <x v="1"/>
    <n v="3"/>
    <n v="4"/>
    <s v="Medical"/>
    <n v="1"/>
    <n v="337"/>
    <n v="2"/>
    <s v="Male"/>
    <n v="73"/>
    <n v="3"/>
    <n v="3"/>
    <x v="7"/>
    <n v="3"/>
    <x v="2"/>
    <n v="13675"/>
    <n v="13523"/>
    <n v="9"/>
    <s v="Y"/>
    <x v="1"/>
    <n v="12"/>
    <n v="3"/>
    <n v="1"/>
    <n v="80"/>
    <n v="1"/>
    <n v="9"/>
    <n v="3"/>
    <x v="1"/>
    <n v="2"/>
    <n v="2"/>
    <n v="2"/>
    <n v="2"/>
    <x v="0"/>
    <x v="1"/>
  </r>
  <r>
    <n v="33"/>
    <x v="1"/>
    <x v="0"/>
    <n v="832"/>
    <x v="1"/>
    <n v="5"/>
    <n v="4"/>
    <s v="Life Sciences"/>
    <n v="1"/>
    <n v="338"/>
    <n v="3"/>
    <s v="Female"/>
    <n v="63"/>
    <n v="2"/>
    <n v="1"/>
    <x v="1"/>
    <n v="4"/>
    <x v="1"/>
    <n v="2911"/>
    <n v="14776"/>
    <n v="1"/>
    <s v="Y"/>
    <x v="1"/>
    <n v="13"/>
    <n v="3"/>
    <n v="3"/>
    <n v="80"/>
    <n v="1"/>
    <n v="2"/>
    <n v="2"/>
    <x v="2"/>
    <n v="2"/>
    <n v="2"/>
    <n v="0"/>
    <n v="2"/>
    <x v="0"/>
    <x v="2"/>
  </r>
  <r>
    <n v="34"/>
    <x v="1"/>
    <x v="0"/>
    <n v="470"/>
    <x v="1"/>
    <n v="2"/>
    <n v="4"/>
    <s v="Life Sciences"/>
    <n v="1"/>
    <n v="339"/>
    <n v="4"/>
    <s v="Male"/>
    <n v="84"/>
    <n v="2"/>
    <n v="2"/>
    <x v="3"/>
    <n v="1"/>
    <x v="1"/>
    <n v="5957"/>
    <n v="23687"/>
    <n v="6"/>
    <s v="Y"/>
    <x v="1"/>
    <n v="13"/>
    <n v="3"/>
    <n v="2"/>
    <n v="80"/>
    <n v="1"/>
    <n v="13"/>
    <n v="3"/>
    <x v="1"/>
    <n v="11"/>
    <n v="9"/>
    <n v="5"/>
    <n v="9"/>
    <x v="0"/>
    <x v="1"/>
  </r>
  <r>
    <n v="37"/>
    <x v="1"/>
    <x v="0"/>
    <n v="1017"/>
    <x v="1"/>
    <n v="1"/>
    <n v="2"/>
    <s v="Medical"/>
    <n v="1"/>
    <n v="340"/>
    <n v="3"/>
    <s v="Female"/>
    <n v="83"/>
    <n v="2"/>
    <n v="1"/>
    <x v="1"/>
    <n v="1"/>
    <x v="1"/>
    <n v="3920"/>
    <n v="18697"/>
    <n v="2"/>
    <s v="Y"/>
    <x v="1"/>
    <n v="14"/>
    <n v="3"/>
    <n v="1"/>
    <n v="80"/>
    <n v="1"/>
    <n v="17"/>
    <n v="2"/>
    <x v="2"/>
    <n v="3"/>
    <n v="1"/>
    <n v="0"/>
    <n v="2"/>
    <x v="0"/>
    <x v="2"/>
  </r>
  <r>
    <n v="45"/>
    <x v="1"/>
    <x v="1"/>
    <n v="1199"/>
    <x v="1"/>
    <n v="7"/>
    <n v="4"/>
    <s v="Life Sciences"/>
    <n v="1"/>
    <n v="341"/>
    <n v="1"/>
    <s v="Male"/>
    <n v="77"/>
    <n v="4"/>
    <n v="2"/>
    <x v="3"/>
    <n v="3"/>
    <x v="1"/>
    <n v="6434"/>
    <n v="5118"/>
    <n v="4"/>
    <s v="Y"/>
    <x v="1"/>
    <n v="17"/>
    <n v="3"/>
    <n v="4"/>
    <n v="80"/>
    <n v="1"/>
    <n v="9"/>
    <n v="1"/>
    <x v="1"/>
    <n v="3"/>
    <n v="2"/>
    <n v="0"/>
    <n v="2"/>
    <x v="0"/>
    <x v="1"/>
  </r>
  <r>
    <n v="37"/>
    <x v="0"/>
    <x v="1"/>
    <n v="504"/>
    <x v="1"/>
    <n v="10"/>
    <n v="3"/>
    <s v="Medical"/>
    <n v="1"/>
    <n v="342"/>
    <n v="1"/>
    <s v="Male"/>
    <n v="61"/>
    <n v="3"/>
    <n v="3"/>
    <x v="3"/>
    <n v="3"/>
    <x v="2"/>
    <n v="10048"/>
    <n v="22573"/>
    <n v="6"/>
    <s v="Y"/>
    <x v="1"/>
    <n v="11"/>
    <n v="3"/>
    <n v="2"/>
    <n v="80"/>
    <n v="2"/>
    <n v="17"/>
    <n v="5"/>
    <x v="1"/>
    <n v="1"/>
    <n v="0"/>
    <n v="0"/>
    <n v="0"/>
    <x v="0"/>
    <x v="1"/>
  </r>
  <r>
    <n v="39"/>
    <x v="1"/>
    <x v="1"/>
    <n v="505"/>
    <x v="1"/>
    <n v="2"/>
    <n v="4"/>
    <s v="Technical Degree"/>
    <n v="1"/>
    <n v="343"/>
    <n v="3"/>
    <s v="Female"/>
    <n v="64"/>
    <n v="3"/>
    <n v="3"/>
    <x v="4"/>
    <n v="3"/>
    <x v="0"/>
    <n v="10938"/>
    <n v="6420"/>
    <n v="0"/>
    <s v="Y"/>
    <x v="1"/>
    <n v="25"/>
    <n v="4"/>
    <n v="4"/>
    <n v="80"/>
    <n v="0"/>
    <n v="20"/>
    <n v="1"/>
    <x v="1"/>
    <n v="19"/>
    <n v="6"/>
    <n v="11"/>
    <n v="8"/>
    <x v="0"/>
    <x v="1"/>
  </r>
  <r>
    <n v="29"/>
    <x v="1"/>
    <x v="0"/>
    <n v="665"/>
    <x v="1"/>
    <n v="15"/>
    <n v="3"/>
    <s v="Life Sciences"/>
    <n v="1"/>
    <n v="346"/>
    <n v="3"/>
    <s v="Male"/>
    <n v="60"/>
    <n v="3"/>
    <n v="1"/>
    <x v="1"/>
    <n v="4"/>
    <x v="0"/>
    <n v="2340"/>
    <n v="22673"/>
    <n v="1"/>
    <s v="Y"/>
    <x v="1"/>
    <n v="19"/>
    <n v="3"/>
    <n v="1"/>
    <n v="80"/>
    <n v="0"/>
    <n v="6"/>
    <n v="1"/>
    <x v="1"/>
    <n v="6"/>
    <n v="5"/>
    <n v="1"/>
    <n v="5"/>
    <x v="1"/>
    <x v="1"/>
  </r>
  <r>
    <n v="42"/>
    <x v="1"/>
    <x v="0"/>
    <n v="916"/>
    <x v="1"/>
    <n v="17"/>
    <n v="2"/>
    <s v="Life Sciences"/>
    <n v="1"/>
    <n v="347"/>
    <n v="4"/>
    <s v="Female"/>
    <n v="82"/>
    <n v="4"/>
    <n v="2"/>
    <x v="1"/>
    <n v="1"/>
    <x v="0"/>
    <n v="6545"/>
    <n v="23016"/>
    <n v="3"/>
    <s v="Y"/>
    <x v="0"/>
    <n v="13"/>
    <n v="3"/>
    <n v="3"/>
    <n v="80"/>
    <n v="0"/>
    <n v="10"/>
    <n v="1"/>
    <x v="1"/>
    <n v="3"/>
    <n v="2"/>
    <n v="0"/>
    <n v="2"/>
    <x v="0"/>
    <x v="1"/>
  </r>
  <r>
    <n v="29"/>
    <x v="1"/>
    <x v="0"/>
    <n v="1247"/>
    <x v="0"/>
    <n v="20"/>
    <n v="2"/>
    <s v="Marketing"/>
    <n v="1"/>
    <n v="349"/>
    <n v="4"/>
    <s v="Male"/>
    <n v="45"/>
    <n v="3"/>
    <n v="2"/>
    <x v="0"/>
    <n v="4"/>
    <x v="2"/>
    <n v="6931"/>
    <n v="10732"/>
    <n v="2"/>
    <s v="Y"/>
    <x v="1"/>
    <n v="14"/>
    <n v="3"/>
    <n v="4"/>
    <n v="80"/>
    <n v="1"/>
    <n v="10"/>
    <n v="2"/>
    <x v="1"/>
    <n v="3"/>
    <n v="2"/>
    <n v="0"/>
    <n v="2"/>
    <x v="1"/>
    <x v="1"/>
  </r>
  <r>
    <n v="25"/>
    <x v="1"/>
    <x v="0"/>
    <n v="685"/>
    <x v="1"/>
    <n v="1"/>
    <n v="3"/>
    <s v="Life Sciences"/>
    <n v="1"/>
    <n v="350"/>
    <n v="1"/>
    <s v="Female"/>
    <n v="62"/>
    <n v="3"/>
    <n v="2"/>
    <x v="3"/>
    <n v="3"/>
    <x v="1"/>
    <n v="4898"/>
    <n v="7505"/>
    <n v="0"/>
    <s v="Y"/>
    <x v="1"/>
    <n v="12"/>
    <n v="3"/>
    <n v="4"/>
    <n v="80"/>
    <n v="2"/>
    <n v="5"/>
    <n v="3"/>
    <x v="1"/>
    <n v="4"/>
    <n v="2"/>
    <n v="1"/>
    <n v="2"/>
    <x v="1"/>
    <x v="1"/>
  </r>
  <r>
    <n v="42"/>
    <x v="1"/>
    <x v="0"/>
    <n v="269"/>
    <x v="1"/>
    <n v="2"/>
    <n v="3"/>
    <s v="Medical"/>
    <n v="1"/>
    <n v="351"/>
    <n v="4"/>
    <s v="Female"/>
    <n v="56"/>
    <n v="2"/>
    <n v="1"/>
    <x v="2"/>
    <n v="1"/>
    <x v="2"/>
    <n v="2593"/>
    <n v="8007"/>
    <n v="0"/>
    <s v="Y"/>
    <x v="0"/>
    <n v="11"/>
    <n v="3"/>
    <n v="3"/>
    <n v="80"/>
    <n v="1"/>
    <n v="10"/>
    <n v="4"/>
    <x v="1"/>
    <n v="9"/>
    <n v="6"/>
    <n v="7"/>
    <n v="8"/>
    <x v="0"/>
    <x v="1"/>
  </r>
  <r>
    <n v="40"/>
    <x v="1"/>
    <x v="0"/>
    <n v="1416"/>
    <x v="1"/>
    <n v="2"/>
    <n v="2"/>
    <s v="Medical"/>
    <n v="1"/>
    <n v="352"/>
    <n v="1"/>
    <s v="Male"/>
    <n v="49"/>
    <n v="3"/>
    <n v="5"/>
    <x v="7"/>
    <n v="3"/>
    <x v="2"/>
    <n v="19436"/>
    <n v="5949"/>
    <n v="0"/>
    <s v="Y"/>
    <x v="1"/>
    <n v="19"/>
    <n v="3"/>
    <n v="4"/>
    <n v="80"/>
    <n v="1"/>
    <n v="22"/>
    <n v="5"/>
    <x v="1"/>
    <n v="21"/>
    <n v="7"/>
    <n v="3"/>
    <n v="9"/>
    <x v="0"/>
    <x v="1"/>
  </r>
  <r>
    <n v="51"/>
    <x v="1"/>
    <x v="0"/>
    <n v="833"/>
    <x v="1"/>
    <n v="1"/>
    <n v="3"/>
    <s v="Life Sciences"/>
    <n v="1"/>
    <n v="353"/>
    <n v="3"/>
    <s v="Male"/>
    <n v="96"/>
    <n v="3"/>
    <n v="1"/>
    <x v="1"/>
    <n v="4"/>
    <x v="1"/>
    <n v="2723"/>
    <n v="23231"/>
    <n v="1"/>
    <s v="Y"/>
    <x v="1"/>
    <n v="11"/>
    <n v="3"/>
    <n v="2"/>
    <n v="80"/>
    <n v="0"/>
    <n v="1"/>
    <n v="0"/>
    <x v="2"/>
    <n v="1"/>
    <n v="0"/>
    <n v="0"/>
    <n v="0"/>
    <x v="2"/>
    <x v="2"/>
  </r>
  <r>
    <n v="31"/>
    <x v="0"/>
    <x v="1"/>
    <n v="307"/>
    <x v="1"/>
    <n v="29"/>
    <n v="2"/>
    <s v="Medical"/>
    <n v="1"/>
    <n v="355"/>
    <n v="3"/>
    <s v="Male"/>
    <n v="71"/>
    <n v="2"/>
    <n v="1"/>
    <x v="2"/>
    <n v="2"/>
    <x v="0"/>
    <n v="3479"/>
    <n v="11652"/>
    <n v="0"/>
    <s v="Y"/>
    <x v="1"/>
    <n v="11"/>
    <n v="3"/>
    <n v="2"/>
    <n v="80"/>
    <n v="0"/>
    <n v="6"/>
    <n v="2"/>
    <x v="3"/>
    <n v="5"/>
    <n v="4"/>
    <n v="1"/>
    <n v="4"/>
    <x v="0"/>
    <x v="3"/>
  </r>
  <r>
    <n v="32"/>
    <x v="1"/>
    <x v="1"/>
    <n v="1311"/>
    <x v="1"/>
    <n v="7"/>
    <n v="3"/>
    <s v="Life Sciences"/>
    <n v="1"/>
    <n v="359"/>
    <n v="2"/>
    <s v="Male"/>
    <n v="100"/>
    <n v="4"/>
    <n v="1"/>
    <x v="2"/>
    <n v="2"/>
    <x v="1"/>
    <n v="2794"/>
    <n v="26062"/>
    <n v="1"/>
    <s v="Y"/>
    <x v="1"/>
    <n v="20"/>
    <n v="4"/>
    <n v="3"/>
    <n v="80"/>
    <n v="0"/>
    <n v="5"/>
    <n v="3"/>
    <x v="0"/>
    <n v="5"/>
    <n v="1"/>
    <n v="0"/>
    <n v="3"/>
    <x v="0"/>
    <x v="0"/>
  </r>
  <r>
    <n v="38"/>
    <x v="1"/>
    <x v="2"/>
    <n v="1327"/>
    <x v="0"/>
    <n v="2"/>
    <n v="2"/>
    <s v="Life Sciences"/>
    <n v="1"/>
    <n v="361"/>
    <n v="4"/>
    <s v="Male"/>
    <n v="39"/>
    <n v="2"/>
    <n v="2"/>
    <x v="0"/>
    <n v="4"/>
    <x v="1"/>
    <n v="5249"/>
    <n v="19682"/>
    <n v="3"/>
    <s v="Y"/>
    <x v="1"/>
    <n v="18"/>
    <n v="3"/>
    <n v="4"/>
    <n v="80"/>
    <n v="1"/>
    <n v="13"/>
    <n v="0"/>
    <x v="1"/>
    <n v="8"/>
    <n v="7"/>
    <n v="7"/>
    <n v="5"/>
    <x v="0"/>
    <x v="1"/>
  </r>
  <r>
    <n v="32"/>
    <x v="1"/>
    <x v="0"/>
    <n v="128"/>
    <x v="1"/>
    <n v="2"/>
    <n v="1"/>
    <s v="Technical Degree"/>
    <n v="1"/>
    <n v="362"/>
    <n v="4"/>
    <s v="Male"/>
    <n v="84"/>
    <n v="2"/>
    <n v="2"/>
    <x v="2"/>
    <n v="1"/>
    <x v="0"/>
    <n v="2176"/>
    <n v="19737"/>
    <n v="4"/>
    <s v="Y"/>
    <x v="1"/>
    <n v="13"/>
    <n v="3"/>
    <n v="4"/>
    <n v="80"/>
    <n v="0"/>
    <n v="9"/>
    <n v="5"/>
    <x v="1"/>
    <n v="6"/>
    <n v="2"/>
    <n v="0"/>
    <n v="4"/>
    <x v="0"/>
    <x v="1"/>
  </r>
  <r>
    <n v="46"/>
    <x v="1"/>
    <x v="0"/>
    <n v="488"/>
    <x v="0"/>
    <n v="2"/>
    <n v="3"/>
    <s v="Technical Degree"/>
    <n v="1"/>
    <n v="363"/>
    <n v="3"/>
    <s v="Female"/>
    <n v="75"/>
    <n v="1"/>
    <n v="4"/>
    <x v="5"/>
    <n v="2"/>
    <x v="1"/>
    <n v="16872"/>
    <n v="14977"/>
    <n v="3"/>
    <s v="Y"/>
    <x v="0"/>
    <n v="12"/>
    <n v="3"/>
    <n v="2"/>
    <n v="80"/>
    <n v="1"/>
    <n v="28"/>
    <n v="2"/>
    <x v="2"/>
    <n v="7"/>
    <n v="7"/>
    <n v="7"/>
    <n v="7"/>
    <x v="0"/>
    <x v="2"/>
  </r>
  <r>
    <n v="28"/>
    <x v="0"/>
    <x v="0"/>
    <n v="529"/>
    <x v="1"/>
    <n v="2"/>
    <n v="4"/>
    <s v="Life Sciences"/>
    <n v="1"/>
    <n v="364"/>
    <n v="1"/>
    <s v="Male"/>
    <n v="79"/>
    <n v="3"/>
    <n v="1"/>
    <x v="2"/>
    <n v="3"/>
    <x v="0"/>
    <n v="3485"/>
    <n v="14935"/>
    <n v="2"/>
    <s v="Y"/>
    <x v="1"/>
    <n v="11"/>
    <n v="3"/>
    <n v="3"/>
    <n v="80"/>
    <n v="0"/>
    <n v="5"/>
    <n v="5"/>
    <x v="0"/>
    <n v="0"/>
    <n v="0"/>
    <n v="0"/>
    <n v="0"/>
    <x v="1"/>
    <x v="0"/>
  </r>
  <r>
    <n v="29"/>
    <x v="1"/>
    <x v="0"/>
    <n v="1210"/>
    <x v="0"/>
    <n v="2"/>
    <n v="3"/>
    <s v="Medical"/>
    <n v="1"/>
    <n v="366"/>
    <n v="1"/>
    <s v="Male"/>
    <n v="78"/>
    <n v="2"/>
    <n v="2"/>
    <x v="0"/>
    <n v="2"/>
    <x v="1"/>
    <n v="6644"/>
    <n v="3687"/>
    <n v="2"/>
    <s v="Y"/>
    <x v="1"/>
    <n v="19"/>
    <n v="3"/>
    <n v="2"/>
    <n v="80"/>
    <n v="2"/>
    <n v="10"/>
    <n v="2"/>
    <x v="1"/>
    <n v="0"/>
    <n v="0"/>
    <n v="0"/>
    <n v="0"/>
    <x v="1"/>
    <x v="1"/>
  </r>
  <r>
    <n v="31"/>
    <x v="1"/>
    <x v="0"/>
    <n v="1463"/>
    <x v="1"/>
    <n v="23"/>
    <n v="3"/>
    <s v="Medical"/>
    <n v="1"/>
    <n v="367"/>
    <n v="2"/>
    <s v="Male"/>
    <n v="64"/>
    <n v="2"/>
    <n v="2"/>
    <x v="4"/>
    <n v="4"/>
    <x v="1"/>
    <n v="5582"/>
    <n v="14408"/>
    <n v="0"/>
    <s v="Y"/>
    <x v="1"/>
    <n v="21"/>
    <n v="4"/>
    <n v="2"/>
    <n v="80"/>
    <n v="1"/>
    <n v="10"/>
    <n v="2"/>
    <x v="1"/>
    <n v="9"/>
    <n v="0"/>
    <n v="7"/>
    <n v="8"/>
    <x v="0"/>
    <x v="1"/>
  </r>
  <r>
    <n v="25"/>
    <x v="1"/>
    <x v="2"/>
    <n v="675"/>
    <x v="1"/>
    <n v="5"/>
    <n v="2"/>
    <s v="Life Sciences"/>
    <n v="1"/>
    <n v="369"/>
    <n v="2"/>
    <s v="Male"/>
    <n v="85"/>
    <n v="4"/>
    <n v="2"/>
    <x v="4"/>
    <n v="1"/>
    <x v="2"/>
    <n v="4000"/>
    <n v="18384"/>
    <n v="1"/>
    <s v="Y"/>
    <x v="1"/>
    <n v="12"/>
    <n v="3"/>
    <n v="4"/>
    <n v="80"/>
    <n v="2"/>
    <n v="6"/>
    <n v="2"/>
    <x v="1"/>
    <n v="6"/>
    <n v="3"/>
    <n v="1"/>
    <n v="5"/>
    <x v="1"/>
    <x v="1"/>
  </r>
  <r>
    <n v="45"/>
    <x v="1"/>
    <x v="0"/>
    <n v="1385"/>
    <x v="1"/>
    <n v="20"/>
    <n v="2"/>
    <s v="Medical"/>
    <n v="1"/>
    <n v="372"/>
    <n v="3"/>
    <s v="Male"/>
    <n v="79"/>
    <n v="3"/>
    <n v="4"/>
    <x v="4"/>
    <n v="4"/>
    <x v="1"/>
    <n v="13496"/>
    <n v="7501"/>
    <n v="0"/>
    <s v="Y"/>
    <x v="0"/>
    <n v="14"/>
    <n v="3"/>
    <n v="2"/>
    <n v="80"/>
    <n v="0"/>
    <n v="21"/>
    <n v="2"/>
    <x v="1"/>
    <n v="20"/>
    <n v="7"/>
    <n v="4"/>
    <n v="10"/>
    <x v="0"/>
    <x v="1"/>
  </r>
  <r>
    <n v="36"/>
    <x v="1"/>
    <x v="0"/>
    <n v="1403"/>
    <x v="1"/>
    <n v="6"/>
    <n v="3"/>
    <s v="Life Sciences"/>
    <n v="1"/>
    <n v="373"/>
    <n v="4"/>
    <s v="Male"/>
    <n v="47"/>
    <n v="3"/>
    <n v="1"/>
    <x v="2"/>
    <n v="4"/>
    <x v="1"/>
    <n v="3210"/>
    <n v="20251"/>
    <n v="0"/>
    <s v="Y"/>
    <x v="1"/>
    <n v="11"/>
    <n v="3"/>
    <n v="3"/>
    <n v="80"/>
    <n v="1"/>
    <n v="16"/>
    <n v="4"/>
    <x v="1"/>
    <n v="15"/>
    <n v="13"/>
    <n v="10"/>
    <n v="11"/>
    <x v="0"/>
    <x v="1"/>
  </r>
  <r>
    <n v="55"/>
    <x v="1"/>
    <x v="0"/>
    <n v="452"/>
    <x v="1"/>
    <n v="1"/>
    <n v="3"/>
    <s v="Medical"/>
    <n v="1"/>
    <n v="374"/>
    <n v="4"/>
    <s v="Male"/>
    <n v="81"/>
    <n v="3"/>
    <n v="5"/>
    <x v="5"/>
    <n v="1"/>
    <x v="0"/>
    <n v="19045"/>
    <n v="18938"/>
    <n v="0"/>
    <s v="Y"/>
    <x v="0"/>
    <n v="14"/>
    <n v="3"/>
    <n v="3"/>
    <n v="80"/>
    <n v="0"/>
    <n v="37"/>
    <n v="2"/>
    <x v="1"/>
    <n v="36"/>
    <n v="10"/>
    <n v="4"/>
    <n v="13"/>
    <x v="2"/>
    <x v="1"/>
  </r>
  <r>
    <n v="47"/>
    <x v="0"/>
    <x v="2"/>
    <n v="666"/>
    <x v="1"/>
    <n v="29"/>
    <n v="4"/>
    <s v="Life Sciences"/>
    <n v="1"/>
    <n v="376"/>
    <n v="1"/>
    <s v="Male"/>
    <n v="88"/>
    <n v="3"/>
    <n v="3"/>
    <x v="5"/>
    <n v="2"/>
    <x v="1"/>
    <n v="11849"/>
    <n v="10268"/>
    <n v="1"/>
    <s v="Y"/>
    <x v="0"/>
    <n v="12"/>
    <n v="3"/>
    <n v="4"/>
    <n v="80"/>
    <n v="1"/>
    <n v="10"/>
    <n v="2"/>
    <x v="2"/>
    <n v="10"/>
    <n v="7"/>
    <n v="9"/>
    <n v="9"/>
    <x v="0"/>
    <x v="2"/>
  </r>
  <r>
    <n v="28"/>
    <x v="1"/>
    <x v="0"/>
    <n v="1158"/>
    <x v="1"/>
    <n v="9"/>
    <n v="3"/>
    <s v="Medical"/>
    <n v="1"/>
    <n v="377"/>
    <n v="4"/>
    <s v="Male"/>
    <n v="94"/>
    <n v="3"/>
    <n v="1"/>
    <x v="1"/>
    <n v="4"/>
    <x v="1"/>
    <n v="2070"/>
    <n v="2613"/>
    <n v="1"/>
    <s v="Y"/>
    <x v="1"/>
    <n v="23"/>
    <n v="4"/>
    <n v="4"/>
    <n v="80"/>
    <n v="1"/>
    <n v="5"/>
    <n v="3"/>
    <x v="2"/>
    <n v="5"/>
    <n v="2"/>
    <n v="0"/>
    <n v="4"/>
    <x v="1"/>
    <x v="2"/>
  </r>
  <r>
    <n v="37"/>
    <x v="1"/>
    <x v="0"/>
    <n v="228"/>
    <x v="0"/>
    <n v="6"/>
    <n v="4"/>
    <s v="Medical"/>
    <n v="1"/>
    <n v="378"/>
    <n v="3"/>
    <s v="Male"/>
    <n v="98"/>
    <n v="3"/>
    <n v="2"/>
    <x v="0"/>
    <n v="4"/>
    <x v="1"/>
    <n v="6502"/>
    <n v="22825"/>
    <n v="4"/>
    <s v="Y"/>
    <x v="1"/>
    <n v="14"/>
    <n v="3"/>
    <n v="2"/>
    <n v="80"/>
    <n v="1"/>
    <n v="7"/>
    <n v="5"/>
    <x v="3"/>
    <n v="5"/>
    <n v="4"/>
    <n v="0"/>
    <n v="1"/>
    <x v="0"/>
    <x v="3"/>
  </r>
  <r>
    <n v="21"/>
    <x v="1"/>
    <x v="0"/>
    <n v="996"/>
    <x v="1"/>
    <n v="3"/>
    <n v="2"/>
    <s v="Medical"/>
    <n v="1"/>
    <n v="379"/>
    <n v="4"/>
    <s v="Male"/>
    <n v="100"/>
    <n v="2"/>
    <n v="1"/>
    <x v="1"/>
    <n v="3"/>
    <x v="0"/>
    <n v="3230"/>
    <n v="10531"/>
    <n v="1"/>
    <s v="Y"/>
    <x v="1"/>
    <n v="17"/>
    <n v="3"/>
    <n v="1"/>
    <n v="80"/>
    <n v="0"/>
    <n v="3"/>
    <n v="4"/>
    <x v="3"/>
    <n v="3"/>
    <n v="2"/>
    <n v="1"/>
    <n v="0"/>
    <x v="1"/>
    <x v="3"/>
  </r>
  <r>
    <n v="37"/>
    <x v="1"/>
    <x v="2"/>
    <n v="728"/>
    <x v="1"/>
    <n v="1"/>
    <n v="4"/>
    <s v="Medical"/>
    <n v="1"/>
    <n v="380"/>
    <n v="1"/>
    <s v="Female"/>
    <n v="80"/>
    <n v="3"/>
    <n v="3"/>
    <x v="7"/>
    <n v="4"/>
    <x v="2"/>
    <n v="13603"/>
    <n v="11677"/>
    <n v="2"/>
    <s v="Y"/>
    <x v="0"/>
    <n v="18"/>
    <n v="3"/>
    <n v="1"/>
    <n v="80"/>
    <n v="2"/>
    <n v="15"/>
    <n v="2"/>
    <x v="1"/>
    <n v="5"/>
    <n v="2"/>
    <n v="0"/>
    <n v="2"/>
    <x v="0"/>
    <x v="1"/>
  </r>
  <r>
    <n v="35"/>
    <x v="1"/>
    <x v="0"/>
    <n v="1315"/>
    <x v="1"/>
    <n v="22"/>
    <n v="3"/>
    <s v="Life Sciences"/>
    <n v="1"/>
    <n v="381"/>
    <n v="2"/>
    <s v="Female"/>
    <n v="71"/>
    <n v="4"/>
    <n v="3"/>
    <x v="5"/>
    <n v="2"/>
    <x v="2"/>
    <n v="11996"/>
    <n v="19100"/>
    <n v="7"/>
    <s v="Y"/>
    <x v="1"/>
    <n v="18"/>
    <n v="3"/>
    <n v="2"/>
    <n v="80"/>
    <n v="1"/>
    <n v="10"/>
    <n v="6"/>
    <x v="2"/>
    <n v="7"/>
    <n v="7"/>
    <n v="6"/>
    <n v="2"/>
    <x v="0"/>
    <x v="2"/>
  </r>
  <r>
    <n v="38"/>
    <x v="1"/>
    <x v="0"/>
    <n v="322"/>
    <x v="0"/>
    <n v="7"/>
    <n v="2"/>
    <s v="Medical"/>
    <n v="1"/>
    <n v="382"/>
    <n v="1"/>
    <s v="Female"/>
    <n v="44"/>
    <n v="4"/>
    <n v="2"/>
    <x v="0"/>
    <n v="1"/>
    <x v="2"/>
    <n v="5605"/>
    <n v="19191"/>
    <n v="1"/>
    <s v="Y"/>
    <x v="0"/>
    <n v="24"/>
    <n v="4"/>
    <n v="3"/>
    <n v="80"/>
    <n v="1"/>
    <n v="8"/>
    <n v="3"/>
    <x v="1"/>
    <n v="8"/>
    <n v="0"/>
    <n v="7"/>
    <n v="7"/>
    <x v="0"/>
    <x v="1"/>
  </r>
  <r>
    <n v="26"/>
    <x v="1"/>
    <x v="1"/>
    <n v="1479"/>
    <x v="1"/>
    <n v="1"/>
    <n v="3"/>
    <s v="Life Sciences"/>
    <n v="1"/>
    <n v="384"/>
    <n v="3"/>
    <s v="Female"/>
    <n v="84"/>
    <n v="3"/>
    <n v="2"/>
    <x v="3"/>
    <n v="2"/>
    <x v="2"/>
    <n v="6397"/>
    <n v="26767"/>
    <n v="1"/>
    <s v="Y"/>
    <x v="1"/>
    <n v="20"/>
    <n v="4"/>
    <n v="1"/>
    <n v="80"/>
    <n v="1"/>
    <n v="6"/>
    <n v="6"/>
    <x v="0"/>
    <n v="6"/>
    <n v="5"/>
    <n v="1"/>
    <n v="4"/>
    <x v="1"/>
    <x v="0"/>
  </r>
  <r>
    <n v="50"/>
    <x v="1"/>
    <x v="0"/>
    <n v="797"/>
    <x v="1"/>
    <n v="4"/>
    <n v="1"/>
    <s v="Life Sciences"/>
    <n v="1"/>
    <n v="385"/>
    <n v="1"/>
    <s v="Male"/>
    <n v="96"/>
    <n v="3"/>
    <n v="5"/>
    <x v="7"/>
    <n v="2"/>
    <x v="2"/>
    <n v="19144"/>
    <n v="15815"/>
    <n v="3"/>
    <s v="Y"/>
    <x v="1"/>
    <n v="14"/>
    <n v="3"/>
    <n v="1"/>
    <n v="80"/>
    <n v="2"/>
    <n v="28"/>
    <n v="4"/>
    <x v="2"/>
    <n v="10"/>
    <n v="4"/>
    <n v="1"/>
    <n v="6"/>
    <x v="0"/>
    <x v="2"/>
  </r>
  <r>
    <n v="53"/>
    <x v="1"/>
    <x v="0"/>
    <n v="1070"/>
    <x v="1"/>
    <n v="3"/>
    <n v="4"/>
    <s v="Medical"/>
    <n v="1"/>
    <n v="386"/>
    <n v="3"/>
    <s v="Male"/>
    <n v="45"/>
    <n v="3"/>
    <n v="4"/>
    <x v="7"/>
    <n v="3"/>
    <x v="1"/>
    <n v="17584"/>
    <n v="21016"/>
    <n v="3"/>
    <s v="Y"/>
    <x v="0"/>
    <n v="16"/>
    <n v="3"/>
    <n v="4"/>
    <n v="80"/>
    <n v="3"/>
    <n v="21"/>
    <n v="5"/>
    <x v="2"/>
    <n v="5"/>
    <n v="3"/>
    <n v="1"/>
    <n v="3"/>
    <x v="2"/>
    <x v="2"/>
  </r>
  <r>
    <n v="42"/>
    <x v="1"/>
    <x v="0"/>
    <n v="635"/>
    <x v="0"/>
    <n v="1"/>
    <n v="1"/>
    <s v="Life Sciences"/>
    <n v="1"/>
    <n v="387"/>
    <n v="2"/>
    <s v="Male"/>
    <n v="99"/>
    <n v="3"/>
    <n v="2"/>
    <x v="0"/>
    <n v="3"/>
    <x v="1"/>
    <n v="4907"/>
    <n v="24532"/>
    <n v="1"/>
    <s v="Y"/>
    <x v="1"/>
    <n v="25"/>
    <n v="4"/>
    <n v="3"/>
    <n v="80"/>
    <n v="0"/>
    <n v="20"/>
    <n v="3"/>
    <x v="1"/>
    <n v="20"/>
    <n v="16"/>
    <n v="11"/>
    <n v="6"/>
    <x v="0"/>
    <x v="1"/>
  </r>
  <r>
    <n v="29"/>
    <x v="1"/>
    <x v="1"/>
    <n v="442"/>
    <x v="0"/>
    <n v="2"/>
    <n v="2"/>
    <s v="Life Sciences"/>
    <n v="1"/>
    <n v="388"/>
    <n v="2"/>
    <s v="Male"/>
    <n v="44"/>
    <n v="3"/>
    <n v="2"/>
    <x v="0"/>
    <n v="4"/>
    <x v="0"/>
    <n v="4554"/>
    <n v="20260"/>
    <n v="1"/>
    <s v="Y"/>
    <x v="1"/>
    <n v="18"/>
    <n v="3"/>
    <n v="1"/>
    <n v="80"/>
    <n v="0"/>
    <n v="10"/>
    <n v="3"/>
    <x v="2"/>
    <n v="10"/>
    <n v="7"/>
    <n v="0"/>
    <n v="9"/>
    <x v="1"/>
    <x v="2"/>
  </r>
  <r>
    <n v="55"/>
    <x v="1"/>
    <x v="0"/>
    <n v="147"/>
    <x v="1"/>
    <n v="20"/>
    <n v="2"/>
    <s v="Technical Degree"/>
    <n v="1"/>
    <n v="389"/>
    <n v="2"/>
    <s v="Male"/>
    <n v="37"/>
    <n v="3"/>
    <n v="2"/>
    <x v="2"/>
    <n v="4"/>
    <x v="1"/>
    <n v="5415"/>
    <n v="15972"/>
    <n v="3"/>
    <s v="Y"/>
    <x v="0"/>
    <n v="19"/>
    <n v="3"/>
    <n v="4"/>
    <n v="80"/>
    <n v="1"/>
    <n v="12"/>
    <n v="4"/>
    <x v="1"/>
    <n v="10"/>
    <n v="7"/>
    <n v="0"/>
    <n v="8"/>
    <x v="2"/>
    <x v="1"/>
  </r>
  <r>
    <n v="26"/>
    <x v="1"/>
    <x v="1"/>
    <n v="496"/>
    <x v="1"/>
    <n v="11"/>
    <n v="2"/>
    <s v="Medical"/>
    <n v="1"/>
    <n v="390"/>
    <n v="1"/>
    <s v="Male"/>
    <n v="60"/>
    <n v="3"/>
    <n v="2"/>
    <x v="4"/>
    <n v="1"/>
    <x v="1"/>
    <n v="4741"/>
    <n v="22722"/>
    <n v="1"/>
    <s v="Y"/>
    <x v="0"/>
    <n v="13"/>
    <n v="3"/>
    <n v="3"/>
    <n v="80"/>
    <n v="1"/>
    <n v="5"/>
    <n v="3"/>
    <x v="1"/>
    <n v="5"/>
    <n v="3"/>
    <n v="3"/>
    <n v="3"/>
    <x v="1"/>
    <x v="1"/>
  </r>
  <r>
    <n v="37"/>
    <x v="1"/>
    <x v="0"/>
    <n v="1372"/>
    <x v="1"/>
    <n v="1"/>
    <n v="3"/>
    <s v="Life Sciences"/>
    <n v="1"/>
    <n v="391"/>
    <n v="4"/>
    <s v="Female"/>
    <n v="42"/>
    <n v="3"/>
    <n v="1"/>
    <x v="1"/>
    <n v="4"/>
    <x v="0"/>
    <n v="2115"/>
    <n v="15881"/>
    <n v="1"/>
    <s v="Y"/>
    <x v="1"/>
    <n v="12"/>
    <n v="3"/>
    <n v="2"/>
    <n v="80"/>
    <n v="0"/>
    <n v="17"/>
    <n v="3"/>
    <x v="1"/>
    <n v="17"/>
    <n v="12"/>
    <n v="5"/>
    <n v="7"/>
    <x v="0"/>
    <x v="1"/>
  </r>
  <r>
    <n v="44"/>
    <x v="0"/>
    <x v="1"/>
    <n v="920"/>
    <x v="1"/>
    <n v="24"/>
    <n v="3"/>
    <s v="Life Sciences"/>
    <n v="1"/>
    <n v="392"/>
    <n v="4"/>
    <s v="Male"/>
    <n v="43"/>
    <n v="3"/>
    <n v="1"/>
    <x v="2"/>
    <n v="3"/>
    <x v="2"/>
    <n v="3161"/>
    <n v="19920"/>
    <n v="3"/>
    <s v="Y"/>
    <x v="0"/>
    <n v="22"/>
    <n v="4"/>
    <n v="4"/>
    <n v="80"/>
    <n v="1"/>
    <n v="19"/>
    <n v="0"/>
    <x v="0"/>
    <n v="1"/>
    <n v="0"/>
    <n v="0"/>
    <n v="0"/>
    <x v="0"/>
    <x v="0"/>
  </r>
  <r>
    <n v="38"/>
    <x v="1"/>
    <x v="0"/>
    <n v="688"/>
    <x v="1"/>
    <n v="23"/>
    <n v="4"/>
    <s v="Life Sciences"/>
    <n v="1"/>
    <n v="393"/>
    <n v="4"/>
    <s v="Male"/>
    <n v="82"/>
    <n v="3"/>
    <n v="2"/>
    <x v="4"/>
    <n v="4"/>
    <x v="2"/>
    <n v="5745"/>
    <n v="18899"/>
    <n v="9"/>
    <s v="Y"/>
    <x v="1"/>
    <n v="14"/>
    <n v="3"/>
    <n v="2"/>
    <n v="80"/>
    <n v="1"/>
    <n v="10"/>
    <n v="2"/>
    <x v="1"/>
    <n v="2"/>
    <n v="2"/>
    <n v="1"/>
    <n v="2"/>
    <x v="0"/>
    <x v="1"/>
  </r>
  <r>
    <n v="26"/>
    <x v="0"/>
    <x v="0"/>
    <n v="1449"/>
    <x v="1"/>
    <n v="16"/>
    <n v="4"/>
    <s v="Medical"/>
    <n v="1"/>
    <n v="394"/>
    <n v="1"/>
    <s v="Male"/>
    <n v="45"/>
    <n v="3"/>
    <n v="1"/>
    <x v="2"/>
    <n v="2"/>
    <x v="2"/>
    <n v="2373"/>
    <n v="14180"/>
    <n v="2"/>
    <s v="Y"/>
    <x v="0"/>
    <n v="13"/>
    <n v="3"/>
    <n v="4"/>
    <n v="80"/>
    <n v="1"/>
    <n v="5"/>
    <n v="2"/>
    <x v="1"/>
    <n v="3"/>
    <n v="2"/>
    <n v="0"/>
    <n v="2"/>
    <x v="1"/>
    <x v="1"/>
  </r>
  <r>
    <n v="28"/>
    <x v="1"/>
    <x v="0"/>
    <n v="1117"/>
    <x v="1"/>
    <n v="8"/>
    <n v="2"/>
    <s v="Life Sciences"/>
    <n v="1"/>
    <n v="395"/>
    <n v="4"/>
    <s v="Female"/>
    <n v="66"/>
    <n v="3"/>
    <n v="1"/>
    <x v="1"/>
    <n v="4"/>
    <x v="0"/>
    <n v="3310"/>
    <n v="4488"/>
    <n v="1"/>
    <s v="Y"/>
    <x v="1"/>
    <n v="21"/>
    <n v="4"/>
    <n v="4"/>
    <n v="80"/>
    <n v="0"/>
    <n v="5"/>
    <n v="3"/>
    <x v="1"/>
    <n v="5"/>
    <n v="3"/>
    <n v="0"/>
    <n v="2"/>
    <x v="1"/>
    <x v="1"/>
  </r>
  <r>
    <n v="49"/>
    <x v="1"/>
    <x v="1"/>
    <n v="636"/>
    <x v="1"/>
    <n v="10"/>
    <n v="4"/>
    <s v="Life Sciences"/>
    <n v="1"/>
    <n v="396"/>
    <n v="3"/>
    <s v="Female"/>
    <n v="35"/>
    <n v="3"/>
    <n v="5"/>
    <x v="7"/>
    <n v="1"/>
    <x v="0"/>
    <n v="18665"/>
    <n v="25594"/>
    <n v="9"/>
    <s v="Y"/>
    <x v="0"/>
    <n v="11"/>
    <n v="3"/>
    <n v="4"/>
    <n v="80"/>
    <n v="0"/>
    <n v="22"/>
    <n v="4"/>
    <x v="1"/>
    <n v="3"/>
    <n v="2"/>
    <n v="1"/>
    <n v="2"/>
    <x v="0"/>
    <x v="1"/>
  </r>
  <r>
    <n v="36"/>
    <x v="1"/>
    <x v="0"/>
    <n v="506"/>
    <x v="1"/>
    <n v="3"/>
    <n v="3"/>
    <s v="Technical Degree"/>
    <n v="1"/>
    <n v="397"/>
    <n v="3"/>
    <s v="Male"/>
    <n v="30"/>
    <n v="3"/>
    <n v="2"/>
    <x v="1"/>
    <n v="2"/>
    <x v="0"/>
    <n v="4485"/>
    <n v="26285"/>
    <n v="4"/>
    <s v="Y"/>
    <x v="1"/>
    <n v="12"/>
    <n v="3"/>
    <n v="4"/>
    <n v="80"/>
    <n v="0"/>
    <n v="10"/>
    <n v="2"/>
    <x v="1"/>
    <n v="8"/>
    <n v="0"/>
    <n v="7"/>
    <n v="7"/>
    <x v="0"/>
    <x v="1"/>
  </r>
  <r>
    <n v="31"/>
    <x v="1"/>
    <x v="1"/>
    <n v="444"/>
    <x v="0"/>
    <n v="5"/>
    <n v="3"/>
    <s v="Marketing"/>
    <n v="1"/>
    <n v="399"/>
    <n v="4"/>
    <s v="Female"/>
    <n v="84"/>
    <n v="3"/>
    <n v="1"/>
    <x v="6"/>
    <n v="2"/>
    <x v="2"/>
    <n v="2789"/>
    <n v="3909"/>
    <n v="1"/>
    <s v="Y"/>
    <x v="1"/>
    <n v="11"/>
    <n v="3"/>
    <n v="3"/>
    <n v="80"/>
    <n v="1"/>
    <n v="2"/>
    <n v="5"/>
    <x v="2"/>
    <n v="2"/>
    <n v="2"/>
    <n v="2"/>
    <n v="2"/>
    <x v="0"/>
    <x v="2"/>
  </r>
  <r>
    <n v="26"/>
    <x v="0"/>
    <x v="0"/>
    <n v="950"/>
    <x v="0"/>
    <n v="4"/>
    <n v="4"/>
    <s v="Marketing"/>
    <n v="1"/>
    <n v="401"/>
    <n v="4"/>
    <s v="Male"/>
    <n v="48"/>
    <n v="2"/>
    <n v="2"/>
    <x v="0"/>
    <n v="4"/>
    <x v="0"/>
    <n v="5828"/>
    <n v="8450"/>
    <n v="1"/>
    <s v="Y"/>
    <x v="0"/>
    <n v="12"/>
    <n v="3"/>
    <n v="2"/>
    <n v="80"/>
    <n v="0"/>
    <n v="8"/>
    <n v="0"/>
    <x v="1"/>
    <n v="8"/>
    <n v="7"/>
    <n v="7"/>
    <n v="4"/>
    <x v="1"/>
    <x v="1"/>
  </r>
  <r>
    <n v="37"/>
    <x v="1"/>
    <x v="1"/>
    <n v="889"/>
    <x v="1"/>
    <n v="9"/>
    <n v="3"/>
    <s v="Medical"/>
    <n v="1"/>
    <n v="403"/>
    <n v="2"/>
    <s v="Male"/>
    <n v="53"/>
    <n v="3"/>
    <n v="1"/>
    <x v="1"/>
    <n v="4"/>
    <x v="1"/>
    <n v="2326"/>
    <n v="11411"/>
    <n v="1"/>
    <s v="Y"/>
    <x v="0"/>
    <n v="12"/>
    <n v="3"/>
    <n v="3"/>
    <n v="80"/>
    <n v="3"/>
    <n v="4"/>
    <n v="3"/>
    <x v="2"/>
    <n v="4"/>
    <n v="2"/>
    <n v="1"/>
    <n v="2"/>
    <x v="0"/>
    <x v="2"/>
  </r>
  <r>
    <n v="42"/>
    <x v="1"/>
    <x v="1"/>
    <n v="555"/>
    <x v="0"/>
    <n v="26"/>
    <n v="3"/>
    <s v="Marketing"/>
    <n v="1"/>
    <n v="404"/>
    <n v="3"/>
    <s v="Female"/>
    <n v="77"/>
    <n v="3"/>
    <n v="4"/>
    <x v="0"/>
    <n v="2"/>
    <x v="1"/>
    <n v="13525"/>
    <n v="14864"/>
    <n v="5"/>
    <s v="Y"/>
    <x v="1"/>
    <n v="14"/>
    <n v="3"/>
    <n v="4"/>
    <n v="80"/>
    <n v="1"/>
    <n v="23"/>
    <n v="2"/>
    <x v="3"/>
    <n v="20"/>
    <n v="4"/>
    <n v="4"/>
    <n v="8"/>
    <x v="0"/>
    <x v="3"/>
  </r>
  <r>
    <n v="18"/>
    <x v="0"/>
    <x v="0"/>
    <n v="230"/>
    <x v="1"/>
    <n v="3"/>
    <n v="3"/>
    <s v="Life Sciences"/>
    <n v="1"/>
    <n v="405"/>
    <n v="3"/>
    <s v="Male"/>
    <n v="54"/>
    <n v="3"/>
    <n v="1"/>
    <x v="2"/>
    <n v="3"/>
    <x v="0"/>
    <n v="1420"/>
    <n v="25233"/>
    <n v="1"/>
    <s v="Y"/>
    <x v="1"/>
    <n v="13"/>
    <n v="3"/>
    <n v="3"/>
    <n v="80"/>
    <n v="0"/>
    <n v="0"/>
    <n v="2"/>
    <x v="1"/>
    <n v="0"/>
    <n v="0"/>
    <n v="0"/>
    <n v="0"/>
    <x v="1"/>
    <x v="1"/>
  </r>
  <r>
    <n v="35"/>
    <x v="1"/>
    <x v="0"/>
    <n v="1232"/>
    <x v="0"/>
    <n v="16"/>
    <n v="3"/>
    <s v="Marketing"/>
    <n v="1"/>
    <n v="406"/>
    <n v="3"/>
    <s v="Male"/>
    <n v="96"/>
    <n v="3"/>
    <n v="3"/>
    <x v="0"/>
    <n v="2"/>
    <x v="1"/>
    <n v="8020"/>
    <n v="5100"/>
    <n v="0"/>
    <s v="Y"/>
    <x v="1"/>
    <n v="15"/>
    <n v="3"/>
    <n v="3"/>
    <n v="80"/>
    <n v="2"/>
    <n v="12"/>
    <n v="3"/>
    <x v="2"/>
    <n v="11"/>
    <n v="9"/>
    <n v="6"/>
    <n v="9"/>
    <x v="0"/>
    <x v="2"/>
  </r>
  <r>
    <n v="36"/>
    <x v="1"/>
    <x v="1"/>
    <n v="566"/>
    <x v="1"/>
    <n v="18"/>
    <n v="4"/>
    <s v="Life Sciences"/>
    <n v="1"/>
    <n v="407"/>
    <n v="3"/>
    <s v="Male"/>
    <n v="81"/>
    <n v="4"/>
    <n v="1"/>
    <x v="2"/>
    <n v="4"/>
    <x v="1"/>
    <n v="3688"/>
    <n v="7122"/>
    <n v="4"/>
    <s v="Y"/>
    <x v="1"/>
    <n v="18"/>
    <n v="3"/>
    <n v="4"/>
    <n v="80"/>
    <n v="2"/>
    <n v="4"/>
    <n v="2"/>
    <x v="1"/>
    <n v="1"/>
    <n v="0"/>
    <n v="0"/>
    <n v="0"/>
    <x v="0"/>
    <x v="1"/>
  </r>
  <r>
    <n v="51"/>
    <x v="1"/>
    <x v="0"/>
    <n v="1302"/>
    <x v="1"/>
    <n v="2"/>
    <n v="3"/>
    <s v="Medical"/>
    <n v="1"/>
    <n v="408"/>
    <n v="4"/>
    <s v="Male"/>
    <n v="84"/>
    <n v="1"/>
    <n v="2"/>
    <x v="3"/>
    <n v="2"/>
    <x v="2"/>
    <n v="5482"/>
    <n v="16321"/>
    <n v="5"/>
    <s v="Y"/>
    <x v="1"/>
    <n v="18"/>
    <n v="3"/>
    <n v="4"/>
    <n v="80"/>
    <n v="1"/>
    <n v="13"/>
    <n v="3"/>
    <x v="1"/>
    <n v="4"/>
    <n v="1"/>
    <n v="1"/>
    <n v="2"/>
    <x v="2"/>
    <x v="1"/>
  </r>
  <r>
    <n v="41"/>
    <x v="1"/>
    <x v="0"/>
    <n v="334"/>
    <x v="0"/>
    <n v="2"/>
    <n v="4"/>
    <s v="Life Sciences"/>
    <n v="1"/>
    <n v="410"/>
    <n v="4"/>
    <s v="Male"/>
    <n v="88"/>
    <n v="3"/>
    <n v="4"/>
    <x v="5"/>
    <n v="2"/>
    <x v="0"/>
    <n v="16015"/>
    <n v="15896"/>
    <n v="1"/>
    <s v="Y"/>
    <x v="1"/>
    <n v="19"/>
    <n v="3"/>
    <n v="2"/>
    <n v="80"/>
    <n v="0"/>
    <n v="22"/>
    <n v="2"/>
    <x v="1"/>
    <n v="22"/>
    <n v="10"/>
    <n v="0"/>
    <n v="4"/>
    <x v="0"/>
    <x v="1"/>
  </r>
  <r>
    <n v="18"/>
    <x v="1"/>
    <x v="0"/>
    <n v="812"/>
    <x v="0"/>
    <n v="10"/>
    <n v="3"/>
    <s v="Medical"/>
    <n v="1"/>
    <n v="411"/>
    <n v="4"/>
    <s v="Female"/>
    <n v="69"/>
    <n v="2"/>
    <n v="1"/>
    <x v="6"/>
    <n v="3"/>
    <x v="0"/>
    <n v="1200"/>
    <n v="9724"/>
    <n v="1"/>
    <s v="Y"/>
    <x v="1"/>
    <n v="12"/>
    <n v="3"/>
    <n v="1"/>
    <n v="80"/>
    <n v="0"/>
    <n v="0"/>
    <n v="2"/>
    <x v="1"/>
    <n v="0"/>
    <n v="0"/>
    <n v="0"/>
    <n v="0"/>
    <x v="1"/>
    <x v="1"/>
  </r>
  <r>
    <n v="28"/>
    <x v="1"/>
    <x v="0"/>
    <n v="1476"/>
    <x v="1"/>
    <n v="16"/>
    <n v="2"/>
    <s v="Medical"/>
    <n v="1"/>
    <n v="412"/>
    <n v="2"/>
    <s v="Male"/>
    <n v="68"/>
    <n v="4"/>
    <n v="2"/>
    <x v="4"/>
    <n v="1"/>
    <x v="0"/>
    <n v="5661"/>
    <n v="4824"/>
    <n v="0"/>
    <s v="Y"/>
    <x v="1"/>
    <n v="19"/>
    <n v="3"/>
    <n v="3"/>
    <n v="80"/>
    <n v="0"/>
    <n v="9"/>
    <n v="2"/>
    <x v="1"/>
    <n v="8"/>
    <n v="3"/>
    <n v="0"/>
    <n v="7"/>
    <x v="1"/>
    <x v="1"/>
  </r>
  <r>
    <n v="31"/>
    <x v="1"/>
    <x v="0"/>
    <n v="218"/>
    <x v="0"/>
    <n v="7"/>
    <n v="3"/>
    <s v="Technical Degree"/>
    <n v="1"/>
    <n v="416"/>
    <n v="2"/>
    <s v="Male"/>
    <n v="100"/>
    <n v="4"/>
    <n v="2"/>
    <x v="0"/>
    <n v="4"/>
    <x v="1"/>
    <n v="6929"/>
    <n v="12241"/>
    <n v="4"/>
    <s v="Y"/>
    <x v="1"/>
    <n v="11"/>
    <n v="3"/>
    <n v="2"/>
    <n v="80"/>
    <n v="1"/>
    <n v="10"/>
    <n v="3"/>
    <x v="2"/>
    <n v="8"/>
    <n v="7"/>
    <n v="7"/>
    <n v="7"/>
    <x v="0"/>
    <x v="2"/>
  </r>
  <r>
    <n v="39"/>
    <x v="1"/>
    <x v="0"/>
    <n v="1132"/>
    <x v="1"/>
    <n v="1"/>
    <n v="3"/>
    <s v="Medical"/>
    <n v="1"/>
    <n v="417"/>
    <n v="3"/>
    <s v="Male"/>
    <n v="48"/>
    <n v="4"/>
    <n v="3"/>
    <x v="4"/>
    <n v="4"/>
    <x v="2"/>
    <n v="9613"/>
    <n v="10942"/>
    <n v="0"/>
    <s v="Y"/>
    <x v="1"/>
    <n v="17"/>
    <n v="3"/>
    <n v="1"/>
    <n v="80"/>
    <n v="3"/>
    <n v="19"/>
    <n v="5"/>
    <x v="2"/>
    <n v="18"/>
    <n v="10"/>
    <n v="3"/>
    <n v="7"/>
    <x v="0"/>
    <x v="2"/>
  </r>
  <r>
    <n v="36"/>
    <x v="1"/>
    <x v="2"/>
    <n v="1105"/>
    <x v="1"/>
    <n v="24"/>
    <n v="4"/>
    <s v="Life Sciences"/>
    <n v="1"/>
    <n v="419"/>
    <n v="2"/>
    <s v="Female"/>
    <n v="47"/>
    <n v="3"/>
    <n v="2"/>
    <x v="2"/>
    <n v="2"/>
    <x v="1"/>
    <n v="5674"/>
    <n v="6927"/>
    <n v="7"/>
    <s v="Y"/>
    <x v="1"/>
    <n v="15"/>
    <n v="3"/>
    <n v="3"/>
    <n v="80"/>
    <n v="1"/>
    <n v="11"/>
    <n v="3"/>
    <x v="1"/>
    <n v="9"/>
    <n v="8"/>
    <n v="0"/>
    <n v="8"/>
    <x v="0"/>
    <x v="1"/>
  </r>
  <r>
    <n v="32"/>
    <x v="1"/>
    <x v="0"/>
    <n v="906"/>
    <x v="0"/>
    <n v="7"/>
    <n v="3"/>
    <s v="Life Sciences"/>
    <n v="1"/>
    <n v="420"/>
    <n v="4"/>
    <s v="Male"/>
    <n v="91"/>
    <n v="2"/>
    <n v="2"/>
    <x v="0"/>
    <n v="3"/>
    <x v="1"/>
    <n v="5484"/>
    <n v="16985"/>
    <n v="1"/>
    <s v="Y"/>
    <x v="1"/>
    <n v="14"/>
    <n v="3"/>
    <n v="3"/>
    <n v="80"/>
    <n v="1"/>
    <n v="13"/>
    <n v="3"/>
    <x v="2"/>
    <n v="13"/>
    <n v="8"/>
    <n v="4"/>
    <n v="8"/>
    <x v="0"/>
    <x v="2"/>
  </r>
  <r>
    <n v="38"/>
    <x v="1"/>
    <x v="0"/>
    <n v="849"/>
    <x v="1"/>
    <n v="25"/>
    <n v="2"/>
    <s v="Life Sciences"/>
    <n v="1"/>
    <n v="421"/>
    <n v="1"/>
    <s v="Female"/>
    <n v="81"/>
    <n v="2"/>
    <n v="3"/>
    <x v="7"/>
    <n v="2"/>
    <x v="1"/>
    <n v="12061"/>
    <n v="26707"/>
    <n v="3"/>
    <s v="Y"/>
    <x v="1"/>
    <n v="17"/>
    <n v="3"/>
    <n v="3"/>
    <n v="80"/>
    <n v="1"/>
    <n v="19"/>
    <n v="2"/>
    <x v="1"/>
    <n v="10"/>
    <n v="8"/>
    <n v="0"/>
    <n v="1"/>
    <x v="0"/>
    <x v="1"/>
  </r>
  <r>
    <n v="58"/>
    <x v="1"/>
    <x v="2"/>
    <n v="390"/>
    <x v="1"/>
    <n v="1"/>
    <n v="4"/>
    <s v="Life Sciences"/>
    <n v="1"/>
    <n v="422"/>
    <n v="4"/>
    <s v="Male"/>
    <n v="32"/>
    <n v="1"/>
    <n v="2"/>
    <x v="4"/>
    <n v="3"/>
    <x v="2"/>
    <n v="5660"/>
    <n v="17056"/>
    <n v="2"/>
    <s v="Y"/>
    <x v="0"/>
    <n v="13"/>
    <n v="3"/>
    <n v="4"/>
    <n v="80"/>
    <n v="1"/>
    <n v="12"/>
    <n v="2"/>
    <x v="1"/>
    <n v="5"/>
    <n v="3"/>
    <n v="1"/>
    <n v="2"/>
    <x v="2"/>
    <x v="1"/>
  </r>
  <r>
    <n v="31"/>
    <x v="1"/>
    <x v="0"/>
    <n v="691"/>
    <x v="1"/>
    <n v="5"/>
    <n v="4"/>
    <s v="Technical Degree"/>
    <n v="1"/>
    <n v="423"/>
    <n v="3"/>
    <s v="Male"/>
    <n v="86"/>
    <n v="3"/>
    <n v="1"/>
    <x v="1"/>
    <n v="4"/>
    <x v="1"/>
    <n v="4821"/>
    <n v="10077"/>
    <n v="0"/>
    <s v="Y"/>
    <x v="0"/>
    <n v="12"/>
    <n v="3"/>
    <n v="3"/>
    <n v="80"/>
    <n v="1"/>
    <n v="6"/>
    <n v="4"/>
    <x v="1"/>
    <n v="5"/>
    <n v="2"/>
    <n v="0"/>
    <n v="3"/>
    <x v="0"/>
    <x v="1"/>
  </r>
  <r>
    <n v="31"/>
    <x v="1"/>
    <x v="0"/>
    <n v="106"/>
    <x v="2"/>
    <n v="2"/>
    <n v="3"/>
    <s v="Human Resources"/>
    <n v="1"/>
    <n v="424"/>
    <n v="1"/>
    <s v="Male"/>
    <n v="62"/>
    <n v="2"/>
    <n v="2"/>
    <x v="8"/>
    <n v="1"/>
    <x v="1"/>
    <n v="6410"/>
    <n v="17822"/>
    <n v="3"/>
    <s v="Y"/>
    <x v="1"/>
    <n v="12"/>
    <n v="3"/>
    <n v="4"/>
    <n v="80"/>
    <n v="0"/>
    <n v="9"/>
    <n v="1"/>
    <x v="1"/>
    <n v="2"/>
    <n v="2"/>
    <n v="1"/>
    <n v="0"/>
    <x v="0"/>
    <x v="1"/>
  </r>
  <r>
    <n v="45"/>
    <x v="1"/>
    <x v="1"/>
    <n v="1249"/>
    <x v="1"/>
    <n v="7"/>
    <n v="3"/>
    <s v="Life Sciences"/>
    <n v="1"/>
    <n v="425"/>
    <n v="1"/>
    <s v="Male"/>
    <n v="97"/>
    <n v="3"/>
    <n v="3"/>
    <x v="2"/>
    <n v="1"/>
    <x v="2"/>
    <n v="5210"/>
    <n v="20308"/>
    <n v="1"/>
    <s v="Y"/>
    <x v="1"/>
    <n v="18"/>
    <n v="3"/>
    <n v="1"/>
    <n v="80"/>
    <n v="1"/>
    <n v="24"/>
    <n v="2"/>
    <x v="1"/>
    <n v="24"/>
    <n v="9"/>
    <n v="9"/>
    <n v="11"/>
    <x v="0"/>
    <x v="1"/>
  </r>
  <r>
    <n v="31"/>
    <x v="1"/>
    <x v="0"/>
    <n v="192"/>
    <x v="1"/>
    <n v="2"/>
    <n v="4"/>
    <s v="Life Sciences"/>
    <n v="1"/>
    <n v="426"/>
    <n v="3"/>
    <s v="Male"/>
    <n v="32"/>
    <n v="3"/>
    <n v="1"/>
    <x v="1"/>
    <n v="4"/>
    <x v="2"/>
    <n v="2695"/>
    <n v="7747"/>
    <n v="0"/>
    <s v="Y"/>
    <x v="0"/>
    <n v="18"/>
    <n v="3"/>
    <n v="2"/>
    <n v="80"/>
    <n v="1"/>
    <n v="3"/>
    <n v="2"/>
    <x v="0"/>
    <n v="2"/>
    <n v="2"/>
    <n v="2"/>
    <n v="2"/>
    <x v="0"/>
    <x v="0"/>
  </r>
  <r>
    <n v="33"/>
    <x v="1"/>
    <x v="1"/>
    <n v="553"/>
    <x v="1"/>
    <n v="5"/>
    <n v="4"/>
    <s v="Life Sciences"/>
    <n v="1"/>
    <n v="428"/>
    <n v="4"/>
    <s v="Female"/>
    <n v="74"/>
    <n v="3"/>
    <n v="3"/>
    <x v="5"/>
    <n v="2"/>
    <x v="1"/>
    <n v="11878"/>
    <n v="23364"/>
    <n v="6"/>
    <s v="Y"/>
    <x v="1"/>
    <n v="11"/>
    <n v="3"/>
    <n v="2"/>
    <n v="80"/>
    <n v="2"/>
    <n v="12"/>
    <n v="2"/>
    <x v="1"/>
    <n v="10"/>
    <n v="6"/>
    <n v="8"/>
    <n v="8"/>
    <x v="0"/>
    <x v="1"/>
  </r>
  <r>
    <n v="39"/>
    <x v="1"/>
    <x v="0"/>
    <n v="117"/>
    <x v="1"/>
    <n v="10"/>
    <n v="1"/>
    <s v="Medical"/>
    <n v="1"/>
    <n v="429"/>
    <n v="3"/>
    <s v="Male"/>
    <n v="99"/>
    <n v="3"/>
    <n v="4"/>
    <x v="5"/>
    <n v="1"/>
    <x v="1"/>
    <n v="17068"/>
    <n v="5355"/>
    <n v="1"/>
    <s v="Y"/>
    <x v="0"/>
    <n v="14"/>
    <n v="3"/>
    <n v="4"/>
    <n v="80"/>
    <n v="0"/>
    <n v="21"/>
    <n v="3"/>
    <x v="1"/>
    <n v="21"/>
    <n v="9"/>
    <n v="11"/>
    <n v="10"/>
    <x v="0"/>
    <x v="1"/>
  </r>
  <r>
    <n v="43"/>
    <x v="1"/>
    <x v="1"/>
    <n v="185"/>
    <x v="1"/>
    <n v="10"/>
    <n v="4"/>
    <s v="Life Sciences"/>
    <n v="1"/>
    <n v="430"/>
    <n v="3"/>
    <s v="Female"/>
    <n v="33"/>
    <n v="3"/>
    <n v="1"/>
    <x v="2"/>
    <n v="4"/>
    <x v="0"/>
    <n v="2455"/>
    <n v="10675"/>
    <n v="0"/>
    <s v="Y"/>
    <x v="1"/>
    <n v="19"/>
    <n v="3"/>
    <n v="1"/>
    <n v="80"/>
    <n v="0"/>
    <n v="9"/>
    <n v="5"/>
    <x v="1"/>
    <n v="8"/>
    <n v="7"/>
    <n v="1"/>
    <n v="7"/>
    <x v="0"/>
    <x v="1"/>
  </r>
  <r>
    <n v="49"/>
    <x v="1"/>
    <x v="0"/>
    <n v="1091"/>
    <x v="1"/>
    <n v="1"/>
    <n v="2"/>
    <s v="Technical Degree"/>
    <n v="1"/>
    <n v="431"/>
    <n v="3"/>
    <s v="Female"/>
    <n v="90"/>
    <n v="2"/>
    <n v="4"/>
    <x v="4"/>
    <n v="3"/>
    <x v="0"/>
    <n v="13964"/>
    <n v="17810"/>
    <n v="7"/>
    <s v="Y"/>
    <x v="0"/>
    <n v="12"/>
    <n v="3"/>
    <n v="4"/>
    <n v="80"/>
    <n v="0"/>
    <n v="25"/>
    <n v="2"/>
    <x v="1"/>
    <n v="7"/>
    <n v="1"/>
    <n v="0"/>
    <n v="7"/>
    <x v="0"/>
    <x v="1"/>
  </r>
  <r>
    <n v="52"/>
    <x v="0"/>
    <x v="0"/>
    <n v="723"/>
    <x v="1"/>
    <n v="8"/>
    <n v="4"/>
    <s v="Medical"/>
    <n v="1"/>
    <n v="433"/>
    <n v="3"/>
    <s v="Male"/>
    <n v="85"/>
    <n v="2"/>
    <n v="2"/>
    <x v="1"/>
    <n v="2"/>
    <x v="1"/>
    <n v="4941"/>
    <n v="17747"/>
    <n v="2"/>
    <s v="Y"/>
    <x v="1"/>
    <n v="15"/>
    <n v="3"/>
    <n v="1"/>
    <n v="80"/>
    <n v="0"/>
    <n v="11"/>
    <n v="3"/>
    <x v="2"/>
    <n v="8"/>
    <n v="2"/>
    <n v="7"/>
    <n v="7"/>
    <x v="2"/>
    <x v="2"/>
  </r>
  <r>
    <n v="27"/>
    <x v="1"/>
    <x v="0"/>
    <n v="1220"/>
    <x v="1"/>
    <n v="5"/>
    <n v="3"/>
    <s v="Life Sciences"/>
    <n v="1"/>
    <n v="434"/>
    <n v="3"/>
    <s v="Female"/>
    <n v="85"/>
    <n v="3"/>
    <n v="1"/>
    <x v="1"/>
    <n v="2"/>
    <x v="0"/>
    <n v="2478"/>
    <n v="20938"/>
    <n v="1"/>
    <s v="Y"/>
    <x v="0"/>
    <n v="12"/>
    <n v="3"/>
    <n v="2"/>
    <n v="80"/>
    <n v="0"/>
    <n v="4"/>
    <n v="2"/>
    <x v="2"/>
    <n v="4"/>
    <n v="3"/>
    <n v="1"/>
    <n v="2"/>
    <x v="1"/>
    <x v="2"/>
  </r>
  <r>
    <n v="32"/>
    <x v="1"/>
    <x v="0"/>
    <n v="588"/>
    <x v="0"/>
    <n v="8"/>
    <n v="2"/>
    <s v="Technical Degree"/>
    <n v="1"/>
    <n v="436"/>
    <n v="3"/>
    <s v="Female"/>
    <n v="65"/>
    <n v="2"/>
    <n v="2"/>
    <x v="0"/>
    <n v="2"/>
    <x v="1"/>
    <n v="5228"/>
    <n v="24624"/>
    <n v="1"/>
    <s v="Y"/>
    <x v="0"/>
    <n v="11"/>
    <n v="3"/>
    <n v="4"/>
    <n v="80"/>
    <n v="0"/>
    <n v="13"/>
    <n v="2"/>
    <x v="1"/>
    <n v="13"/>
    <n v="12"/>
    <n v="11"/>
    <n v="9"/>
    <x v="0"/>
    <x v="1"/>
  </r>
  <r>
    <n v="27"/>
    <x v="1"/>
    <x v="0"/>
    <n v="1377"/>
    <x v="0"/>
    <n v="2"/>
    <n v="3"/>
    <s v="Life Sciences"/>
    <n v="1"/>
    <n v="437"/>
    <n v="4"/>
    <s v="Male"/>
    <n v="74"/>
    <n v="3"/>
    <n v="2"/>
    <x v="0"/>
    <n v="3"/>
    <x v="0"/>
    <n v="4478"/>
    <n v="5242"/>
    <n v="1"/>
    <s v="Y"/>
    <x v="0"/>
    <n v="11"/>
    <n v="3"/>
    <n v="1"/>
    <n v="80"/>
    <n v="0"/>
    <n v="5"/>
    <n v="3"/>
    <x v="1"/>
    <n v="5"/>
    <n v="4"/>
    <n v="0"/>
    <n v="4"/>
    <x v="1"/>
    <x v="1"/>
  </r>
  <r>
    <n v="31"/>
    <x v="1"/>
    <x v="0"/>
    <n v="691"/>
    <x v="0"/>
    <n v="7"/>
    <n v="3"/>
    <s v="Marketing"/>
    <n v="1"/>
    <n v="438"/>
    <n v="4"/>
    <s v="Male"/>
    <n v="73"/>
    <n v="3"/>
    <n v="2"/>
    <x v="0"/>
    <n v="4"/>
    <x v="2"/>
    <n v="7547"/>
    <n v="7143"/>
    <n v="4"/>
    <s v="Y"/>
    <x v="1"/>
    <n v="12"/>
    <n v="3"/>
    <n v="4"/>
    <n v="80"/>
    <n v="3"/>
    <n v="13"/>
    <n v="3"/>
    <x v="1"/>
    <n v="7"/>
    <n v="7"/>
    <n v="1"/>
    <n v="7"/>
    <x v="0"/>
    <x v="1"/>
  </r>
  <r>
    <n v="32"/>
    <x v="1"/>
    <x v="0"/>
    <n v="1018"/>
    <x v="1"/>
    <n v="2"/>
    <n v="4"/>
    <s v="Medical"/>
    <n v="1"/>
    <n v="439"/>
    <n v="1"/>
    <s v="Female"/>
    <n v="74"/>
    <n v="4"/>
    <n v="2"/>
    <x v="1"/>
    <n v="4"/>
    <x v="0"/>
    <n v="5055"/>
    <n v="10557"/>
    <n v="7"/>
    <s v="Y"/>
    <x v="1"/>
    <n v="16"/>
    <n v="3"/>
    <n v="3"/>
    <n v="80"/>
    <n v="0"/>
    <n v="10"/>
    <n v="0"/>
    <x v="2"/>
    <n v="7"/>
    <n v="7"/>
    <n v="0"/>
    <n v="7"/>
    <x v="0"/>
    <x v="2"/>
  </r>
  <r>
    <n v="28"/>
    <x v="0"/>
    <x v="0"/>
    <n v="1157"/>
    <x v="1"/>
    <n v="2"/>
    <n v="4"/>
    <s v="Medical"/>
    <n v="1"/>
    <n v="440"/>
    <n v="1"/>
    <s v="Male"/>
    <n v="84"/>
    <n v="1"/>
    <n v="1"/>
    <x v="1"/>
    <n v="4"/>
    <x v="1"/>
    <n v="3464"/>
    <n v="24737"/>
    <n v="5"/>
    <s v="Y"/>
    <x v="0"/>
    <n v="13"/>
    <n v="3"/>
    <n v="4"/>
    <n v="80"/>
    <n v="0"/>
    <n v="5"/>
    <n v="4"/>
    <x v="2"/>
    <n v="3"/>
    <n v="2"/>
    <n v="2"/>
    <n v="2"/>
    <x v="1"/>
    <x v="2"/>
  </r>
  <r>
    <n v="30"/>
    <x v="1"/>
    <x v="0"/>
    <n v="1275"/>
    <x v="1"/>
    <n v="28"/>
    <n v="2"/>
    <s v="Medical"/>
    <n v="1"/>
    <n v="441"/>
    <n v="4"/>
    <s v="Female"/>
    <n v="64"/>
    <n v="3"/>
    <n v="2"/>
    <x v="1"/>
    <n v="4"/>
    <x v="1"/>
    <n v="5775"/>
    <n v="11934"/>
    <n v="1"/>
    <s v="Y"/>
    <x v="1"/>
    <n v="13"/>
    <n v="3"/>
    <n v="4"/>
    <n v="80"/>
    <n v="2"/>
    <n v="11"/>
    <n v="2"/>
    <x v="1"/>
    <n v="10"/>
    <n v="8"/>
    <n v="1"/>
    <n v="9"/>
    <x v="1"/>
    <x v="1"/>
  </r>
  <r>
    <n v="31"/>
    <x v="1"/>
    <x v="1"/>
    <n v="798"/>
    <x v="1"/>
    <n v="7"/>
    <n v="2"/>
    <s v="Life Sciences"/>
    <n v="1"/>
    <n v="442"/>
    <n v="3"/>
    <s v="Female"/>
    <n v="48"/>
    <n v="2"/>
    <n v="3"/>
    <x v="3"/>
    <n v="3"/>
    <x v="1"/>
    <n v="8943"/>
    <n v="14034"/>
    <n v="1"/>
    <s v="Y"/>
    <x v="1"/>
    <n v="24"/>
    <n v="4"/>
    <n v="1"/>
    <n v="80"/>
    <n v="1"/>
    <n v="10"/>
    <n v="2"/>
    <x v="1"/>
    <n v="10"/>
    <n v="9"/>
    <n v="8"/>
    <n v="9"/>
    <x v="0"/>
    <x v="1"/>
  </r>
  <r>
    <n v="39"/>
    <x v="1"/>
    <x v="1"/>
    <n v="672"/>
    <x v="1"/>
    <n v="7"/>
    <n v="2"/>
    <s v="Medical"/>
    <n v="1"/>
    <n v="444"/>
    <n v="3"/>
    <s v="Male"/>
    <n v="54"/>
    <n v="2"/>
    <n v="5"/>
    <x v="5"/>
    <n v="4"/>
    <x v="1"/>
    <n v="19272"/>
    <n v="21141"/>
    <n v="1"/>
    <s v="Y"/>
    <x v="1"/>
    <n v="15"/>
    <n v="3"/>
    <n v="1"/>
    <n v="80"/>
    <n v="1"/>
    <n v="21"/>
    <n v="2"/>
    <x v="1"/>
    <n v="21"/>
    <n v="9"/>
    <n v="13"/>
    <n v="3"/>
    <x v="0"/>
    <x v="1"/>
  </r>
  <r>
    <n v="39"/>
    <x v="0"/>
    <x v="0"/>
    <n v="1162"/>
    <x v="0"/>
    <n v="3"/>
    <n v="2"/>
    <s v="Medical"/>
    <n v="1"/>
    <n v="445"/>
    <n v="4"/>
    <s v="Female"/>
    <n v="41"/>
    <n v="3"/>
    <n v="2"/>
    <x v="0"/>
    <n v="3"/>
    <x v="1"/>
    <n v="5238"/>
    <n v="17778"/>
    <n v="4"/>
    <s v="Y"/>
    <x v="0"/>
    <n v="18"/>
    <n v="3"/>
    <n v="1"/>
    <n v="80"/>
    <n v="0"/>
    <n v="12"/>
    <n v="3"/>
    <x v="2"/>
    <n v="1"/>
    <n v="0"/>
    <n v="0"/>
    <n v="0"/>
    <x v="0"/>
    <x v="2"/>
  </r>
  <r>
    <n v="33"/>
    <x v="1"/>
    <x v="1"/>
    <n v="508"/>
    <x v="0"/>
    <n v="10"/>
    <n v="3"/>
    <s v="Marketing"/>
    <n v="1"/>
    <n v="446"/>
    <n v="2"/>
    <s v="Male"/>
    <n v="46"/>
    <n v="2"/>
    <n v="2"/>
    <x v="0"/>
    <n v="4"/>
    <x v="0"/>
    <n v="4682"/>
    <n v="4317"/>
    <n v="3"/>
    <s v="Y"/>
    <x v="1"/>
    <n v="14"/>
    <n v="3"/>
    <n v="3"/>
    <n v="80"/>
    <n v="0"/>
    <n v="9"/>
    <n v="6"/>
    <x v="2"/>
    <n v="7"/>
    <n v="7"/>
    <n v="0"/>
    <n v="1"/>
    <x v="0"/>
    <x v="2"/>
  </r>
  <r>
    <n v="47"/>
    <x v="1"/>
    <x v="0"/>
    <n v="1482"/>
    <x v="1"/>
    <n v="5"/>
    <n v="5"/>
    <s v="Life Sciences"/>
    <n v="1"/>
    <n v="447"/>
    <n v="4"/>
    <s v="Male"/>
    <n v="42"/>
    <n v="3"/>
    <n v="5"/>
    <x v="7"/>
    <n v="3"/>
    <x v="1"/>
    <n v="18300"/>
    <n v="16375"/>
    <n v="4"/>
    <s v="Y"/>
    <x v="1"/>
    <n v="11"/>
    <n v="3"/>
    <n v="2"/>
    <n v="80"/>
    <n v="1"/>
    <n v="21"/>
    <n v="2"/>
    <x v="1"/>
    <n v="3"/>
    <n v="2"/>
    <n v="1"/>
    <n v="1"/>
    <x v="0"/>
    <x v="1"/>
  </r>
  <r>
    <n v="43"/>
    <x v="1"/>
    <x v="1"/>
    <n v="559"/>
    <x v="1"/>
    <n v="10"/>
    <n v="4"/>
    <s v="Life Sciences"/>
    <n v="1"/>
    <n v="448"/>
    <n v="3"/>
    <s v="Female"/>
    <n v="82"/>
    <n v="2"/>
    <n v="2"/>
    <x v="2"/>
    <n v="3"/>
    <x v="2"/>
    <n v="5257"/>
    <n v="6227"/>
    <n v="1"/>
    <s v="Y"/>
    <x v="1"/>
    <n v="11"/>
    <n v="3"/>
    <n v="2"/>
    <n v="80"/>
    <n v="1"/>
    <n v="9"/>
    <n v="3"/>
    <x v="3"/>
    <n v="9"/>
    <n v="7"/>
    <n v="0"/>
    <n v="0"/>
    <x v="0"/>
    <x v="3"/>
  </r>
  <r>
    <n v="27"/>
    <x v="1"/>
    <x v="2"/>
    <n v="210"/>
    <x v="0"/>
    <n v="1"/>
    <n v="1"/>
    <s v="Marketing"/>
    <n v="1"/>
    <n v="449"/>
    <n v="3"/>
    <s v="Male"/>
    <n v="73"/>
    <n v="3"/>
    <n v="2"/>
    <x v="0"/>
    <n v="2"/>
    <x v="1"/>
    <n v="6349"/>
    <n v="22107"/>
    <n v="0"/>
    <s v="Y"/>
    <x v="0"/>
    <n v="13"/>
    <n v="3"/>
    <n v="4"/>
    <n v="80"/>
    <n v="1"/>
    <n v="6"/>
    <n v="0"/>
    <x v="1"/>
    <n v="5"/>
    <n v="4"/>
    <n v="1"/>
    <n v="4"/>
    <x v="1"/>
    <x v="1"/>
  </r>
  <r>
    <n v="54"/>
    <x v="1"/>
    <x v="1"/>
    <n v="928"/>
    <x v="1"/>
    <n v="20"/>
    <n v="4"/>
    <s v="Life Sciences"/>
    <n v="1"/>
    <n v="450"/>
    <n v="4"/>
    <s v="Female"/>
    <n v="31"/>
    <n v="3"/>
    <n v="2"/>
    <x v="1"/>
    <n v="3"/>
    <x v="0"/>
    <n v="4869"/>
    <n v="16885"/>
    <n v="3"/>
    <s v="Y"/>
    <x v="1"/>
    <n v="12"/>
    <n v="3"/>
    <n v="4"/>
    <n v="80"/>
    <n v="0"/>
    <n v="20"/>
    <n v="4"/>
    <x v="2"/>
    <n v="4"/>
    <n v="3"/>
    <n v="0"/>
    <n v="3"/>
    <x v="2"/>
    <x v="2"/>
  </r>
  <r>
    <n v="43"/>
    <x v="1"/>
    <x v="0"/>
    <n v="1001"/>
    <x v="1"/>
    <n v="7"/>
    <n v="3"/>
    <s v="Life Sciences"/>
    <n v="1"/>
    <n v="451"/>
    <n v="3"/>
    <s v="Female"/>
    <n v="43"/>
    <n v="3"/>
    <n v="3"/>
    <x v="4"/>
    <n v="1"/>
    <x v="1"/>
    <n v="9985"/>
    <n v="9262"/>
    <n v="8"/>
    <s v="Y"/>
    <x v="1"/>
    <n v="16"/>
    <n v="3"/>
    <n v="1"/>
    <n v="80"/>
    <n v="1"/>
    <n v="10"/>
    <n v="1"/>
    <x v="2"/>
    <n v="1"/>
    <n v="0"/>
    <n v="0"/>
    <n v="0"/>
    <x v="0"/>
    <x v="2"/>
  </r>
  <r>
    <n v="45"/>
    <x v="1"/>
    <x v="0"/>
    <n v="549"/>
    <x v="1"/>
    <n v="8"/>
    <n v="4"/>
    <s v="Other"/>
    <n v="1"/>
    <n v="452"/>
    <n v="4"/>
    <s v="Male"/>
    <n v="75"/>
    <n v="3"/>
    <n v="2"/>
    <x v="1"/>
    <n v="4"/>
    <x v="1"/>
    <n v="3697"/>
    <n v="9278"/>
    <n v="9"/>
    <s v="Y"/>
    <x v="1"/>
    <n v="14"/>
    <n v="3"/>
    <n v="1"/>
    <n v="80"/>
    <n v="2"/>
    <n v="12"/>
    <n v="3"/>
    <x v="1"/>
    <n v="10"/>
    <n v="9"/>
    <n v="9"/>
    <n v="8"/>
    <x v="0"/>
    <x v="1"/>
  </r>
  <r>
    <n v="40"/>
    <x v="1"/>
    <x v="0"/>
    <n v="1124"/>
    <x v="0"/>
    <n v="1"/>
    <n v="2"/>
    <s v="Medical"/>
    <n v="1"/>
    <n v="453"/>
    <n v="2"/>
    <s v="Male"/>
    <n v="57"/>
    <n v="1"/>
    <n v="2"/>
    <x v="0"/>
    <n v="4"/>
    <x v="1"/>
    <n v="7457"/>
    <n v="13273"/>
    <n v="2"/>
    <s v="Y"/>
    <x v="0"/>
    <n v="22"/>
    <n v="4"/>
    <n v="3"/>
    <n v="80"/>
    <n v="3"/>
    <n v="6"/>
    <n v="2"/>
    <x v="2"/>
    <n v="4"/>
    <n v="3"/>
    <n v="0"/>
    <n v="2"/>
    <x v="0"/>
    <x v="2"/>
  </r>
  <r>
    <n v="29"/>
    <x v="0"/>
    <x v="0"/>
    <n v="318"/>
    <x v="1"/>
    <n v="8"/>
    <n v="4"/>
    <s v="Other"/>
    <n v="1"/>
    <n v="454"/>
    <n v="2"/>
    <s v="Male"/>
    <n v="77"/>
    <n v="1"/>
    <n v="1"/>
    <x v="2"/>
    <n v="1"/>
    <x v="1"/>
    <n v="2119"/>
    <n v="4759"/>
    <n v="1"/>
    <s v="Y"/>
    <x v="0"/>
    <n v="11"/>
    <n v="3"/>
    <n v="4"/>
    <n v="80"/>
    <n v="0"/>
    <n v="7"/>
    <n v="4"/>
    <x v="2"/>
    <n v="7"/>
    <n v="7"/>
    <n v="0"/>
    <n v="7"/>
    <x v="1"/>
    <x v="2"/>
  </r>
  <r>
    <n v="29"/>
    <x v="1"/>
    <x v="0"/>
    <n v="738"/>
    <x v="1"/>
    <n v="9"/>
    <n v="5"/>
    <s v="Other"/>
    <n v="1"/>
    <n v="455"/>
    <n v="2"/>
    <s v="Male"/>
    <n v="30"/>
    <n v="2"/>
    <n v="1"/>
    <x v="2"/>
    <n v="4"/>
    <x v="0"/>
    <n v="3983"/>
    <n v="7621"/>
    <n v="0"/>
    <s v="Y"/>
    <x v="1"/>
    <n v="17"/>
    <n v="3"/>
    <n v="3"/>
    <n v="80"/>
    <n v="0"/>
    <n v="4"/>
    <n v="2"/>
    <x v="1"/>
    <n v="3"/>
    <n v="2"/>
    <n v="2"/>
    <n v="2"/>
    <x v="1"/>
    <x v="1"/>
  </r>
  <r>
    <n v="30"/>
    <x v="1"/>
    <x v="0"/>
    <n v="570"/>
    <x v="0"/>
    <n v="5"/>
    <n v="3"/>
    <s v="Marketing"/>
    <n v="1"/>
    <n v="456"/>
    <n v="4"/>
    <s v="Female"/>
    <n v="30"/>
    <n v="2"/>
    <n v="2"/>
    <x v="0"/>
    <n v="3"/>
    <x v="2"/>
    <n v="6118"/>
    <n v="5431"/>
    <n v="1"/>
    <s v="Y"/>
    <x v="1"/>
    <n v="13"/>
    <n v="3"/>
    <n v="3"/>
    <n v="80"/>
    <n v="3"/>
    <n v="10"/>
    <n v="2"/>
    <x v="1"/>
    <n v="10"/>
    <n v="9"/>
    <n v="1"/>
    <n v="2"/>
    <x v="1"/>
    <x v="1"/>
  </r>
  <r>
    <n v="27"/>
    <x v="1"/>
    <x v="0"/>
    <n v="1130"/>
    <x v="0"/>
    <n v="8"/>
    <n v="4"/>
    <s v="Marketing"/>
    <n v="1"/>
    <n v="458"/>
    <n v="2"/>
    <s v="Female"/>
    <n v="56"/>
    <n v="3"/>
    <n v="2"/>
    <x v="0"/>
    <n v="2"/>
    <x v="1"/>
    <n v="6214"/>
    <n v="3415"/>
    <n v="1"/>
    <s v="Y"/>
    <x v="1"/>
    <n v="18"/>
    <n v="3"/>
    <n v="1"/>
    <n v="80"/>
    <n v="1"/>
    <n v="8"/>
    <n v="3"/>
    <x v="1"/>
    <n v="8"/>
    <n v="7"/>
    <n v="0"/>
    <n v="7"/>
    <x v="1"/>
    <x v="1"/>
  </r>
  <r>
    <n v="37"/>
    <x v="1"/>
    <x v="0"/>
    <n v="1192"/>
    <x v="1"/>
    <n v="5"/>
    <n v="2"/>
    <s v="Medical"/>
    <n v="1"/>
    <n v="460"/>
    <n v="4"/>
    <s v="Male"/>
    <n v="61"/>
    <n v="3"/>
    <n v="2"/>
    <x v="3"/>
    <n v="4"/>
    <x v="2"/>
    <n v="6347"/>
    <n v="23177"/>
    <n v="7"/>
    <s v="Y"/>
    <x v="1"/>
    <n v="16"/>
    <n v="3"/>
    <n v="3"/>
    <n v="80"/>
    <n v="2"/>
    <n v="8"/>
    <n v="2"/>
    <x v="2"/>
    <n v="6"/>
    <n v="2"/>
    <n v="0"/>
    <n v="4"/>
    <x v="0"/>
    <x v="2"/>
  </r>
  <r>
    <n v="38"/>
    <x v="1"/>
    <x v="0"/>
    <n v="343"/>
    <x v="1"/>
    <n v="15"/>
    <n v="2"/>
    <s v="Life Sciences"/>
    <n v="1"/>
    <n v="461"/>
    <n v="3"/>
    <s v="Male"/>
    <n v="92"/>
    <n v="2"/>
    <n v="3"/>
    <x v="7"/>
    <n v="4"/>
    <x v="2"/>
    <n v="11510"/>
    <n v="15682"/>
    <n v="0"/>
    <s v="Y"/>
    <x v="0"/>
    <n v="14"/>
    <n v="3"/>
    <n v="2"/>
    <n v="80"/>
    <n v="1"/>
    <n v="12"/>
    <n v="3"/>
    <x v="1"/>
    <n v="11"/>
    <n v="10"/>
    <n v="2"/>
    <n v="9"/>
    <x v="0"/>
    <x v="1"/>
  </r>
  <r>
    <n v="31"/>
    <x v="1"/>
    <x v="0"/>
    <n v="1232"/>
    <x v="1"/>
    <n v="7"/>
    <n v="4"/>
    <s v="Medical"/>
    <n v="1"/>
    <n v="462"/>
    <n v="3"/>
    <s v="Female"/>
    <n v="39"/>
    <n v="3"/>
    <n v="3"/>
    <x v="3"/>
    <n v="4"/>
    <x v="0"/>
    <n v="7143"/>
    <n v="25713"/>
    <n v="1"/>
    <s v="Y"/>
    <x v="0"/>
    <n v="14"/>
    <n v="3"/>
    <n v="3"/>
    <n v="80"/>
    <n v="0"/>
    <n v="11"/>
    <n v="2"/>
    <x v="2"/>
    <n v="11"/>
    <n v="9"/>
    <n v="4"/>
    <n v="10"/>
    <x v="0"/>
    <x v="2"/>
  </r>
  <r>
    <n v="29"/>
    <x v="1"/>
    <x v="0"/>
    <n v="144"/>
    <x v="0"/>
    <n v="10"/>
    <n v="1"/>
    <s v="Marketing"/>
    <n v="1"/>
    <n v="463"/>
    <n v="4"/>
    <s v="Female"/>
    <n v="39"/>
    <n v="2"/>
    <n v="2"/>
    <x v="0"/>
    <n v="2"/>
    <x v="2"/>
    <n v="8268"/>
    <n v="11866"/>
    <n v="1"/>
    <s v="Y"/>
    <x v="0"/>
    <n v="14"/>
    <n v="3"/>
    <n v="1"/>
    <n v="80"/>
    <n v="2"/>
    <n v="7"/>
    <n v="2"/>
    <x v="1"/>
    <n v="7"/>
    <n v="7"/>
    <n v="1"/>
    <n v="7"/>
    <x v="1"/>
    <x v="1"/>
  </r>
  <r>
    <n v="35"/>
    <x v="1"/>
    <x v="0"/>
    <n v="1296"/>
    <x v="1"/>
    <n v="5"/>
    <n v="4"/>
    <s v="Technical Degree"/>
    <n v="1"/>
    <n v="464"/>
    <n v="3"/>
    <s v="Male"/>
    <n v="62"/>
    <n v="3"/>
    <n v="3"/>
    <x v="3"/>
    <n v="2"/>
    <x v="0"/>
    <n v="8095"/>
    <n v="18264"/>
    <n v="0"/>
    <s v="Y"/>
    <x v="1"/>
    <n v="13"/>
    <n v="3"/>
    <n v="4"/>
    <n v="80"/>
    <n v="0"/>
    <n v="17"/>
    <n v="5"/>
    <x v="1"/>
    <n v="16"/>
    <n v="6"/>
    <n v="0"/>
    <n v="13"/>
    <x v="0"/>
    <x v="1"/>
  </r>
  <r>
    <n v="23"/>
    <x v="1"/>
    <x v="0"/>
    <n v="1309"/>
    <x v="1"/>
    <n v="26"/>
    <n v="1"/>
    <s v="Life Sciences"/>
    <n v="1"/>
    <n v="465"/>
    <n v="3"/>
    <s v="Male"/>
    <n v="83"/>
    <n v="3"/>
    <n v="1"/>
    <x v="1"/>
    <n v="4"/>
    <x v="2"/>
    <n v="2904"/>
    <n v="16092"/>
    <n v="1"/>
    <s v="Y"/>
    <x v="1"/>
    <n v="12"/>
    <n v="3"/>
    <n v="3"/>
    <n v="80"/>
    <n v="2"/>
    <n v="4"/>
    <n v="2"/>
    <x v="2"/>
    <n v="4"/>
    <n v="2"/>
    <n v="0"/>
    <n v="2"/>
    <x v="1"/>
    <x v="2"/>
  </r>
  <r>
    <n v="41"/>
    <x v="1"/>
    <x v="0"/>
    <n v="483"/>
    <x v="1"/>
    <n v="6"/>
    <n v="3"/>
    <s v="Medical"/>
    <n v="1"/>
    <n v="466"/>
    <n v="4"/>
    <s v="Male"/>
    <n v="95"/>
    <n v="2"/>
    <n v="2"/>
    <x v="3"/>
    <n v="2"/>
    <x v="0"/>
    <n v="6032"/>
    <n v="10110"/>
    <n v="6"/>
    <s v="Y"/>
    <x v="0"/>
    <n v="15"/>
    <n v="3"/>
    <n v="4"/>
    <n v="80"/>
    <n v="0"/>
    <n v="8"/>
    <n v="3"/>
    <x v="1"/>
    <n v="5"/>
    <n v="4"/>
    <n v="1"/>
    <n v="2"/>
    <x v="0"/>
    <x v="1"/>
  </r>
  <r>
    <n v="47"/>
    <x v="1"/>
    <x v="1"/>
    <n v="1309"/>
    <x v="0"/>
    <n v="4"/>
    <n v="1"/>
    <s v="Medical"/>
    <n v="1"/>
    <n v="467"/>
    <n v="2"/>
    <s v="Male"/>
    <n v="99"/>
    <n v="3"/>
    <n v="2"/>
    <x v="6"/>
    <n v="3"/>
    <x v="0"/>
    <n v="2976"/>
    <n v="25751"/>
    <n v="3"/>
    <s v="Y"/>
    <x v="1"/>
    <n v="19"/>
    <n v="3"/>
    <n v="1"/>
    <n v="80"/>
    <n v="0"/>
    <n v="5"/>
    <n v="3"/>
    <x v="1"/>
    <n v="0"/>
    <n v="0"/>
    <n v="0"/>
    <n v="0"/>
    <x v="0"/>
    <x v="1"/>
  </r>
  <r>
    <n v="42"/>
    <x v="1"/>
    <x v="0"/>
    <n v="810"/>
    <x v="1"/>
    <n v="23"/>
    <n v="5"/>
    <s v="Life Sciences"/>
    <n v="1"/>
    <n v="468"/>
    <n v="1"/>
    <s v="Female"/>
    <n v="44"/>
    <n v="3"/>
    <n v="4"/>
    <x v="7"/>
    <n v="4"/>
    <x v="0"/>
    <n v="15992"/>
    <n v="15901"/>
    <n v="2"/>
    <s v="Y"/>
    <x v="1"/>
    <n v="14"/>
    <n v="3"/>
    <n v="2"/>
    <n v="80"/>
    <n v="0"/>
    <n v="16"/>
    <n v="2"/>
    <x v="1"/>
    <n v="1"/>
    <n v="0"/>
    <n v="0"/>
    <n v="0"/>
    <x v="0"/>
    <x v="1"/>
  </r>
  <r>
    <n v="29"/>
    <x v="1"/>
    <x v="2"/>
    <n v="746"/>
    <x v="0"/>
    <n v="2"/>
    <n v="3"/>
    <s v="Life Sciences"/>
    <n v="1"/>
    <n v="469"/>
    <n v="4"/>
    <s v="Male"/>
    <n v="61"/>
    <n v="3"/>
    <n v="2"/>
    <x v="0"/>
    <n v="3"/>
    <x v="1"/>
    <n v="4649"/>
    <n v="16928"/>
    <n v="1"/>
    <s v="Y"/>
    <x v="1"/>
    <n v="14"/>
    <n v="3"/>
    <n v="1"/>
    <n v="80"/>
    <n v="1"/>
    <n v="4"/>
    <n v="3"/>
    <x v="2"/>
    <n v="4"/>
    <n v="3"/>
    <n v="0"/>
    <n v="2"/>
    <x v="1"/>
    <x v="2"/>
  </r>
  <r>
    <n v="42"/>
    <x v="1"/>
    <x v="0"/>
    <n v="544"/>
    <x v="2"/>
    <n v="2"/>
    <n v="1"/>
    <s v="Technical Degree"/>
    <n v="1"/>
    <n v="470"/>
    <n v="3"/>
    <s v="Male"/>
    <n v="52"/>
    <n v="3"/>
    <n v="1"/>
    <x v="8"/>
    <n v="3"/>
    <x v="2"/>
    <n v="2696"/>
    <n v="24017"/>
    <n v="0"/>
    <s v="Y"/>
    <x v="0"/>
    <n v="11"/>
    <n v="3"/>
    <n v="3"/>
    <n v="80"/>
    <n v="1"/>
    <n v="4"/>
    <n v="5"/>
    <x v="1"/>
    <n v="3"/>
    <n v="2"/>
    <n v="1"/>
    <n v="0"/>
    <x v="0"/>
    <x v="1"/>
  </r>
  <r>
    <n v="32"/>
    <x v="1"/>
    <x v="0"/>
    <n v="1062"/>
    <x v="1"/>
    <n v="2"/>
    <n v="3"/>
    <s v="Medical"/>
    <n v="1"/>
    <n v="471"/>
    <n v="3"/>
    <s v="Female"/>
    <n v="75"/>
    <n v="3"/>
    <n v="1"/>
    <x v="2"/>
    <n v="2"/>
    <x v="1"/>
    <n v="2370"/>
    <n v="3956"/>
    <n v="1"/>
    <s v="Y"/>
    <x v="1"/>
    <n v="13"/>
    <n v="3"/>
    <n v="3"/>
    <n v="80"/>
    <n v="1"/>
    <n v="8"/>
    <n v="4"/>
    <x v="1"/>
    <n v="8"/>
    <n v="0"/>
    <n v="0"/>
    <n v="7"/>
    <x v="0"/>
    <x v="1"/>
  </r>
  <r>
    <n v="48"/>
    <x v="1"/>
    <x v="0"/>
    <n v="530"/>
    <x v="0"/>
    <n v="29"/>
    <n v="1"/>
    <s v="Medical"/>
    <n v="1"/>
    <n v="473"/>
    <n v="1"/>
    <s v="Female"/>
    <n v="91"/>
    <n v="3"/>
    <n v="3"/>
    <x v="5"/>
    <n v="3"/>
    <x v="1"/>
    <n v="12504"/>
    <n v="23978"/>
    <n v="3"/>
    <s v="Y"/>
    <x v="1"/>
    <n v="21"/>
    <n v="4"/>
    <n v="2"/>
    <n v="80"/>
    <n v="1"/>
    <n v="15"/>
    <n v="3"/>
    <x v="0"/>
    <n v="0"/>
    <n v="0"/>
    <n v="0"/>
    <n v="0"/>
    <x v="0"/>
    <x v="0"/>
  </r>
  <r>
    <n v="37"/>
    <x v="1"/>
    <x v="0"/>
    <n v="1319"/>
    <x v="1"/>
    <n v="6"/>
    <n v="3"/>
    <s v="Medical"/>
    <n v="1"/>
    <n v="474"/>
    <n v="3"/>
    <s v="Male"/>
    <n v="51"/>
    <n v="4"/>
    <n v="2"/>
    <x v="1"/>
    <n v="1"/>
    <x v="2"/>
    <n v="5974"/>
    <n v="17001"/>
    <n v="4"/>
    <s v="Y"/>
    <x v="0"/>
    <n v="13"/>
    <n v="3"/>
    <n v="1"/>
    <n v="80"/>
    <n v="2"/>
    <n v="13"/>
    <n v="2"/>
    <x v="1"/>
    <n v="7"/>
    <n v="7"/>
    <n v="6"/>
    <n v="7"/>
    <x v="0"/>
    <x v="1"/>
  </r>
  <r>
    <n v="30"/>
    <x v="1"/>
    <x v="2"/>
    <n v="641"/>
    <x v="0"/>
    <n v="25"/>
    <n v="2"/>
    <s v="Technical Degree"/>
    <n v="1"/>
    <n v="475"/>
    <n v="4"/>
    <s v="Female"/>
    <n v="85"/>
    <n v="3"/>
    <n v="2"/>
    <x v="0"/>
    <n v="3"/>
    <x v="1"/>
    <n v="4736"/>
    <n v="6069"/>
    <n v="7"/>
    <s v="Y"/>
    <x v="0"/>
    <n v="12"/>
    <n v="3"/>
    <n v="2"/>
    <n v="80"/>
    <n v="1"/>
    <n v="4"/>
    <n v="2"/>
    <x v="3"/>
    <n v="2"/>
    <n v="2"/>
    <n v="2"/>
    <n v="2"/>
    <x v="1"/>
    <x v="3"/>
  </r>
  <r>
    <n v="26"/>
    <x v="1"/>
    <x v="0"/>
    <n v="933"/>
    <x v="0"/>
    <n v="1"/>
    <n v="3"/>
    <s v="Life Sciences"/>
    <n v="1"/>
    <n v="476"/>
    <n v="3"/>
    <s v="Male"/>
    <n v="57"/>
    <n v="3"/>
    <n v="2"/>
    <x v="0"/>
    <n v="3"/>
    <x v="1"/>
    <n v="5296"/>
    <n v="20156"/>
    <n v="1"/>
    <s v="Y"/>
    <x v="1"/>
    <n v="17"/>
    <n v="3"/>
    <n v="2"/>
    <n v="80"/>
    <n v="1"/>
    <n v="8"/>
    <n v="3"/>
    <x v="1"/>
    <n v="8"/>
    <n v="7"/>
    <n v="7"/>
    <n v="7"/>
    <x v="1"/>
    <x v="1"/>
  </r>
  <r>
    <n v="42"/>
    <x v="1"/>
    <x v="0"/>
    <n v="1332"/>
    <x v="1"/>
    <n v="2"/>
    <n v="4"/>
    <s v="Other"/>
    <n v="1"/>
    <n v="477"/>
    <n v="1"/>
    <s v="Male"/>
    <n v="98"/>
    <n v="2"/>
    <n v="2"/>
    <x v="4"/>
    <n v="4"/>
    <x v="0"/>
    <n v="6781"/>
    <n v="17078"/>
    <n v="3"/>
    <s v="Y"/>
    <x v="1"/>
    <n v="23"/>
    <n v="4"/>
    <n v="2"/>
    <n v="80"/>
    <n v="0"/>
    <n v="14"/>
    <n v="6"/>
    <x v="1"/>
    <n v="1"/>
    <n v="0"/>
    <n v="0"/>
    <n v="0"/>
    <x v="0"/>
    <x v="1"/>
  </r>
  <r>
    <n v="21"/>
    <x v="0"/>
    <x v="1"/>
    <n v="756"/>
    <x v="0"/>
    <n v="1"/>
    <n v="1"/>
    <s v="Technical Degree"/>
    <n v="1"/>
    <n v="478"/>
    <n v="1"/>
    <s v="Female"/>
    <n v="99"/>
    <n v="2"/>
    <n v="1"/>
    <x v="6"/>
    <n v="2"/>
    <x v="0"/>
    <n v="2174"/>
    <n v="9150"/>
    <n v="1"/>
    <s v="Y"/>
    <x v="0"/>
    <n v="11"/>
    <n v="3"/>
    <n v="3"/>
    <n v="80"/>
    <n v="0"/>
    <n v="3"/>
    <n v="3"/>
    <x v="1"/>
    <n v="3"/>
    <n v="2"/>
    <n v="1"/>
    <n v="2"/>
    <x v="1"/>
    <x v="1"/>
  </r>
  <r>
    <n v="36"/>
    <x v="1"/>
    <x v="2"/>
    <n v="845"/>
    <x v="0"/>
    <n v="1"/>
    <n v="5"/>
    <s v="Medical"/>
    <n v="1"/>
    <n v="479"/>
    <n v="4"/>
    <s v="Female"/>
    <n v="45"/>
    <n v="3"/>
    <n v="2"/>
    <x v="0"/>
    <n v="4"/>
    <x v="0"/>
    <n v="6653"/>
    <n v="15276"/>
    <n v="4"/>
    <s v="Y"/>
    <x v="1"/>
    <n v="15"/>
    <n v="3"/>
    <n v="2"/>
    <n v="80"/>
    <n v="0"/>
    <n v="7"/>
    <n v="6"/>
    <x v="1"/>
    <n v="1"/>
    <n v="0"/>
    <n v="0"/>
    <n v="0"/>
    <x v="0"/>
    <x v="1"/>
  </r>
  <r>
    <n v="36"/>
    <x v="1"/>
    <x v="1"/>
    <n v="541"/>
    <x v="0"/>
    <n v="3"/>
    <n v="4"/>
    <s v="Medical"/>
    <n v="1"/>
    <n v="481"/>
    <n v="1"/>
    <s v="Male"/>
    <n v="48"/>
    <n v="2"/>
    <n v="3"/>
    <x v="0"/>
    <n v="4"/>
    <x v="1"/>
    <n v="9699"/>
    <n v="7246"/>
    <n v="4"/>
    <s v="Y"/>
    <x v="1"/>
    <n v="11"/>
    <n v="3"/>
    <n v="1"/>
    <n v="80"/>
    <n v="1"/>
    <n v="16"/>
    <n v="2"/>
    <x v="1"/>
    <n v="13"/>
    <n v="9"/>
    <n v="1"/>
    <n v="12"/>
    <x v="0"/>
    <x v="1"/>
  </r>
  <r>
    <n v="57"/>
    <x v="1"/>
    <x v="0"/>
    <n v="593"/>
    <x v="1"/>
    <n v="1"/>
    <n v="4"/>
    <s v="Medical"/>
    <n v="1"/>
    <n v="482"/>
    <n v="4"/>
    <s v="Male"/>
    <n v="88"/>
    <n v="3"/>
    <n v="2"/>
    <x v="4"/>
    <n v="3"/>
    <x v="1"/>
    <n v="6755"/>
    <n v="2967"/>
    <n v="2"/>
    <s v="Y"/>
    <x v="1"/>
    <n v="11"/>
    <n v="3"/>
    <n v="3"/>
    <n v="80"/>
    <n v="0"/>
    <n v="15"/>
    <n v="2"/>
    <x v="1"/>
    <n v="3"/>
    <n v="2"/>
    <n v="1"/>
    <n v="2"/>
    <x v="2"/>
    <x v="1"/>
  </r>
  <r>
    <n v="40"/>
    <x v="1"/>
    <x v="0"/>
    <n v="1171"/>
    <x v="1"/>
    <n v="10"/>
    <n v="4"/>
    <s v="Life Sciences"/>
    <n v="1"/>
    <n v="483"/>
    <n v="4"/>
    <s v="Female"/>
    <n v="46"/>
    <n v="4"/>
    <n v="1"/>
    <x v="2"/>
    <n v="3"/>
    <x v="1"/>
    <n v="2213"/>
    <n v="22495"/>
    <n v="3"/>
    <s v="Y"/>
    <x v="0"/>
    <n v="13"/>
    <n v="3"/>
    <n v="3"/>
    <n v="80"/>
    <n v="1"/>
    <n v="10"/>
    <n v="3"/>
    <x v="1"/>
    <n v="7"/>
    <n v="7"/>
    <n v="1"/>
    <n v="7"/>
    <x v="0"/>
    <x v="1"/>
  </r>
  <r>
    <n v="21"/>
    <x v="1"/>
    <x v="2"/>
    <n v="895"/>
    <x v="0"/>
    <n v="9"/>
    <n v="2"/>
    <s v="Medical"/>
    <n v="1"/>
    <n v="484"/>
    <n v="1"/>
    <s v="Male"/>
    <n v="39"/>
    <n v="3"/>
    <n v="1"/>
    <x v="6"/>
    <n v="4"/>
    <x v="0"/>
    <n v="2610"/>
    <n v="2851"/>
    <n v="1"/>
    <s v="Y"/>
    <x v="1"/>
    <n v="24"/>
    <n v="4"/>
    <n v="3"/>
    <n v="80"/>
    <n v="0"/>
    <n v="3"/>
    <n v="3"/>
    <x v="2"/>
    <n v="3"/>
    <n v="2"/>
    <n v="2"/>
    <n v="2"/>
    <x v="1"/>
    <x v="2"/>
  </r>
  <r>
    <n v="33"/>
    <x v="0"/>
    <x v="0"/>
    <n v="350"/>
    <x v="0"/>
    <n v="5"/>
    <n v="3"/>
    <s v="Marketing"/>
    <n v="1"/>
    <n v="485"/>
    <n v="4"/>
    <s v="Female"/>
    <n v="34"/>
    <n v="3"/>
    <n v="1"/>
    <x v="6"/>
    <n v="3"/>
    <x v="0"/>
    <n v="2851"/>
    <n v="9150"/>
    <n v="1"/>
    <s v="Y"/>
    <x v="0"/>
    <n v="13"/>
    <n v="3"/>
    <n v="2"/>
    <n v="80"/>
    <n v="0"/>
    <n v="1"/>
    <n v="2"/>
    <x v="1"/>
    <n v="1"/>
    <n v="0"/>
    <n v="0"/>
    <n v="0"/>
    <x v="0"/>
    <x v="1"/>
  </r>
  <r>
    <n v="37"/>
    <x v="1"/>
    <x v="0"/>
    <n v="921"/>
    <x v="1"/>
    <n v="10"/>
    <n v="3"/>
    <s v="Medical"/>
    <n v="1"/>
    <n v="486"/>
    <n v="3"/>
    <s v="Female"/>
    <n v="98"/>
    <n v="3"/>
    <n v="1"/>
    <x v="2"/>
    <n v="1"/>
    <x v="1"/>
    <n v="3452"/>
    <n v="17663"/>
    <n v="6"/>
    <s v="Y"/>
    <x v="1"/>
    <n v="20"/>
    <n v="4"/>
    <n v="2"/>
    <n v="80"/>
    <n v="1"/>
    <n v="17"/>
    <n v="3"/>
    <x v="1"/>
    <n v="5"/>
    <n v="4"/>
    <n v="0"/>
    <n v="3"/>
    <x v="0"/>
    <x v="1"/>
  </r>
  <r>
    <n v="46"/>
    <x v="1"/>
    <x v="2"/>
    <n v="1144"/>
    <x v="1"/>
    <n v="7"/>
    <n v="4"/>
    <s v="Medical"/>
    <n v="1"/>
    <n v="487"/>
    <n v="3"/>
    <s v="Female"/>
    <n v="30"/>
    <n v="3"/>
    <n v="2"/>
    <x v="3"/>
    <n v="3"/>
    <x v="1"/>
    <n v="5258"/>
    <n v="16044"/>
    <n v="2"/>
    <s v="Y"/>
    <x v="1"/>
    <n v="14"/>
    <n v="3"/>
    <n v="3"/>
    <n v="80"/>
    <n v="0"/>
    <n v="7"/>
    <n v="2"/>
    <x v="3"/>
    <n v="1"/>
    <n v="0"/>
    <n v="0"/>
    <n v="0"/>
    <x v="0"/>
    <x v="3"/>
  </r>
  <r>
    <n v="41"/>
    <x v="0"/>
    <x v="1"/>
    <n v="143"/>
    <x v="0"/>
    <n v="4"/>
    <n v="3"/>
    <s v="Marketing"/>
    <n v="1"/>
    <n v="488"/>
    <n v="1"/>
    <s v="Male"/>
    <n v="56"/>
    <n v="3"/>
    <n v="2"/>
    <x v="0"/>
    <n v="2"/>
    <x v="0"/>
    <n v="9355"/>
    <n v="9558"/>
    <n v="1"/>
    <s v="Y"/>
    <x v="1"/>
    <n v="18"/>
    <n v="3"/>
    <n v="3"/>
    <n v="80"/>
    <n v="0"/>
    <n v="8"/>
    <n v="5"/>
    <x v="1"/>
    <n v="8"/>
    <n v="7"/>
    <n v="7"/>
    <n v="7"/>
    <x v="0"/>
    <x v="1"/>
  </r>
  <r>
    <n v="50"/>
    <x v="1"/>
    <x v="0"/>
    <n v="1046"/>
    <x v="1"/>
    <n v="10"/>
    <n v="3"/>
    <s v="Technical Degree"/>
    <n v="1"/>
    <n v="491"/>
    <n v="4"/>
    <s v="Male"/>
    <n v="100"/>
    <n v="2"/>
    <n v="3"/>
    <x v="4"/>
    <n v="4"/>
    <x v="0"/>
    <n v="10496"/>
    <n v="2755"/>
    <n v="6"/>
    <s v="Y"/>
    <x v="1"/>
    <n v="15"/>
    <n v="3"/>
    <n v="4"/>
    <n v="80"/>
    <n v="0"/>
    <n v="20"/>
    <n v="2"/>
    <x v="1"/>
    <n v="4"/>
    <n v="3"/>
    <n v="1"/>
    <n v="3"/>
    <x v="0"/>
    <x v="1"/>
  </r>
  <r>
    <n v="40"/>
    <x v="0"/>
    <x v="0"/>
    <n v="575"/>
    <x v="0"/>
    <n v="22"/>
    <n v="2"/>
    <s v="Marketing"/>
    <n v="1"/>
    <n v="492"/>
    <n v="3"/>
    <s v="Male"/>
    <n v="68"/>
    <n v="2"/>
    <n v="2"/>
    <x v="0"/>
    <n v="3"/>
    <x v="1"/>
    <n v="6380"/>
    <n v="6110"/>
    <n v="2"/>
    <s v="Y"/>
    <x v="0"/>
    <n v="12"/>
    <n v="3"/>
    <n v="1"/>
    <n v="80"/>
    <n v="2"/>
    <n v="8"/>
    <n v="6"/>
    <x v="1"/>
    <n v="6"/>
    <n v="4"/>
    <n v="1"/>
    <n v="0"/>
    <x v="0"/>
    <x v="1"/>
  </r>
  <r>
    <n v="31"/>
    <x v="1"/>
    <x v="0"/>
    <n v="408"/>
    <x v="1"/>
    <n v="9"/>
    <n v="4"/>
    <s v="Life Sciences"/>
    <n v="1"/>
    <n v="493"/>
    <n v="3"/>
    <s v="Male"/>
    <n v="42"/>
    <n v="2"/>
    <n v="1"/>
    <x v="1"/>
    <n v="2"/>
    <x v="0"/>
    <n v="2657"/>
    <n v="7551"/>
    <n v="0"/>
    <s v="Y"/>
    <x v="0"/>
    <n v="16"/>
    <n v="3"/>
    <n v="4"/>
    <n v="80"/>
    <n v="0"/>
    <n v="3"/>
    <n v="5"/>
    <x v="1"/>
    <n v="2"/>
    <n v="2"/>
    <n v="2"/>
    <n v="2"/>
    <x v="0"/>
    <x v="1"/>
  </r>
  <r>
    <n v="21"/>
    <x v="0"/>
    <x v="0"/>
    <n v="156"/>
    <x v="0"/>
    <n v="12"/>
    <n v="3"/>
    <s v="Life Sciences"/>
    <n v="1"/>
    <n v="494"/>
    <n v="3"/>
    <s v="Female"/>
    <n v="90"/>
    <n v="4"/>
    <n v="1"/>
    <x v="6"/>
    <n v="2"/>
    <x v="0"/>
    <n v="2716"/>
    <n v="25422"/>
    <n v="1"/>
    <s v="Y"/>
    <x v="1"/>
    <n v="15"/>
    <n v="3"/>
    <n v="4"/>
    <n v="80"/>
    <n v="0"/>
    <n v="1"/>
    <n v="0"/>
    <x v="1"/>
    <n v="1"/>
    <n v="0"/>
    <n v="0"/>
    <n v="0"/>
    <x v="1"/>
    <x v="1"/>
  </r>
  <r>
    <n v="29"/>
    <x v="1"/>
    <x v="0"/>
    <n v="1283"/>
    <x v="1"/>
    <n v="23"/>
    <n v="3"/>
    <s v="Life Sciences"/>
    <n v="1"/>
    <n v="495"/>
    <n v="4"/>
    <s v="Male"/>
    <n v="54"/>
    <n v="3"/>
    <n v="1"/>
    <x v="1"/>
    <n v="4"/>
    <x v="0"/>
    <n v="2201"/>
    <n v="18168"/>
    <n v="9"/>
    <s v="Y"/>
    <x v="1"/>
    <n v="16"/>
    <n v="3"/>
    <n v="4"/>
    <n v="80"/>
    <n v="0"/>
    <n v="6"/>
    <n v="4"/>
    <x v="1"/>
    <n v="3"/>
    <n v="2"/>
    <n v="1"/>
    <n v="2"/>
    <x v="1"/>
    <x v="1"/>
  </r>
  <r>
    <n v="35"/>
    <x v="1"/>
    <x v="0"/>
    <n v="755"/>
    <x v="1"/>
    <n v="9"/>
    <n v="4"/>
    <s v="Life Sciences"/>
    <n v="1"/>
    <n v="496"/>
    <n v="3"/>
    <s v="Male"/>
    <n v="97"/>
    <n v="2"/>
    <n v="2"/>
    <x v="4"/>
    <n v="2"/>
    <x v="0"/>
    <n v="6540"/>
    <n v="19394"/>
    <n v="9"/>
    <s v="Y"/>
    <x v="1"/>
    <n v="19"/>
    <n v="3"/>
    <n v="3"/>
    <n v="80"/>
    <n v="0"/>
    <n v="10"/>
    <n v="5"/>
    <x v="1"/>
    <n v="1"/>
    <n v="1"/>
    <n v="0"/>
    <n v="0"/>
    <x v="0"/>
    <x v="1"/>
  </r>
  <r>
    <n v="27"/>
    <x v="1"/>
    <x v="0"/>
    <n v="1469"/>
    <x v="1"/>
    <n v="1"/>
    <n v="2"/>
    <s v="Medical"/>
    <n v="1"/>
    <n v="497"/>
    <n v="4"/>
    <s v="Male"/>
    <n v="82"/>
    <n v="3"/>
    <n v="1"/>
    <x v="2"/>
    <n v="2"/>
    <x v="2"/>
    <n v="3816"/>
    <n v="17881"/>
    <n v="1"/>
    <s v="Y"/>
    <x v="1"/>
    <n v="11"/>
    <n v="3"/>
    <n v="2"/>
    <n v="80"/>
    <n v="1"/>
    <n v="5"/>
    <n v="2"/>
    <x v="1"/>
    <n v="5"/>
    <n v="2"/>
    <n v="0"/>
    <n v="4"/>
    <x v="1"/>
    <x v="1"/>
  </r>
  <r>
    <n v="28"/>
    <x v="1"/>
    <x v="0"/>
    <n v="304"/>
    <x v="0"/>
    <n v="9"/>
    <n v="4"/>
    <s v="Life Sciences"/>
    <n v="1"/>
    <n v="498"/>
    <n v="2"/>
    <s v="Male"/>
    <n v="92"/>
    <n v="3"/>
    <n v="2"/>
    <x v="0"/>
    <n v="4"/>
    <x v="0"/>
    <n v="5253"/>
    <n v="20750"/>
    <n v="1"/>
    <s v="Y"/>
    <x v="1"/>
    <n v="16"/>
    <n v="3"/>
    <n v="4"/>
    <n v="80"/>
    <n v="0"/>
    <n v="7"/>
    <n v="1"/>
    <x v="1"/>
    <n v="7"/>
    <n v="5"/>
    <n v="0"/>
    <n v="7"/>
    <x v="1"/>
    <x v="1"/>
  </r>
  <r>
    <n v="49"/>
    <x v="1"/>
    <x v="0"/>
    <n v="1261"/>
    <x v="1"/>
    <n v="7"/>
    <n v="3"/>
    <s v="Other"/>
    <n v="1"/>
    <n v="499"/>
    <n v="2"/>
    <s v="Male"/>
    <n v="31"/>
    <n v="2"/>
    <n v="3"/>
    <x v="4"/>
    <n v="3"/>
    <x v="0"/>
    <n v="10965"/>
    <n v="12066"/>
    <n v="8"/>
    <s v="Y"/>
    <x v="1"/>
    <n v="24"/>
    <n v="4"/>
    <n v="3"/>
    <n v="80"/>
    <n v="0"/>
    <n v="26"/>
    <n v="2"/>
    <x v="1"/>
    <n v="5"/>
    <n v="2"/>
    <n v="0"/>
    <n v="0"/>
    <x v="0"/>
    <x v="1"/>
  </r>
  <r>
    <n v="51"/>
    <x v="1"/>
    <x v="0"/>
    <n v="1178"/>
    <x v="0"/>
    <n v="14"/>
    <n v="2"/>
    <s v="Life Sciences"/>
    <n v="1"/>
    <n v="500"/>
    <n v="3"/>
    <s v="Female"/>
    <n v="87"/>
    <n v="3"/>
    <n v="2"/>
    <x v="0"/>
    <n v="4"/>
    <x v="1"/>
    <n v="4936"/>
    <n v="14862"/>
    <n v="4"/>
    <s v="Y"/>
    <x v="1"/>
    <n v="11"/>
    <n v="3"/>
    <n v="3"/>
    <n v="80"/>
    <n v="1"/>
    <n v="18"/>
    <n v="2"/>
    <x v="2"/>
    <n v="7"/>
    <n v="7"/>
    <n v="0"/>
    <n v="7"/>
    <x v="2"/>
    <x v="2"/>
  </r>
  <r>
    <n v="36"/>
    <x v="1"/>
    <x v="0"/>
    <n v="329"/>
    <x v="1"/>
    <n v="2"/>
    <n v="3"/>
    <s v="Life Sciences"/>
    <n v="1"/>
    <n v="501"/>
    <n v="4"/>
    <s v="Female"/>
    <n v="96"/>
    <n v="3"/>
    <n v="1"/>
    <x v="1"/>
    <n v="3"/>
    <x v="1"/>
    <n v="2543"/>
    <n v="11868"/>
    <n v="4"/>
    <s v="Y"/>
    <x v="1"/>
    <n v="13"/>
    <n v="3"/>
    <n v="2"/>
    <n v="80"/>
    <n v="1"/>
    <n v="6"/>
    <n v="3"/>
    <x v="1"/>
    <n v="2"/>
    <n v="2"/>
    <n v="2"/>
    <n v="2"/>
    <x v="0"/>
    <x v="1"/>
  </r>
  <r>
    <n v="34"/>
    <x v="0"/>
    <x v="2"/>
    <n v="1362"/>
    <x v="0"/>
    <n v="19"/>
    <n v="3"/>
    <s v="Marketing"/>
    <n v="1"/>
    <n v="502"/>
    <n v="1"/>
    <s v="Male"/>
    <n v="67"/>
    <n v="4"/>
    <n v="2"/>
    <x v="0"/>
    <n v="4"/>
    <x v="0"/>
    <n v="5304"/>
    <n v="4652"/>
    <n v="8"/>
    <s v="Y"/>
    <x v="0"/>
    <n v="13"/>
    <n v="3"/>
    <n v="2"/>
    <n v="80"/>
    <n v="0"/>
    <n v="9"/>
    <n v="3"/>
    <x v="2"/>
    <n v="5"/>
    <n v="2"/>
    <n v="0"/>
    <n v="4"/>
    <x v="0"/>
    <x v="2"/>
  </r>
  <r>
    <n v="55"/>
    <x v="1"/>
    <x v="0"/>
    <n v="1311"/>
    <x v="1"/>
    <n v="2"/>
    <n v="3"/>
    <s v="Life Sciences"/>
    <n v="1"/>
    <n v="505"/>
    <n v="3"/>
    <s v="Female"/>
    <n v="97"/>
    <n v="3"/>
    <n v="4"/>
    <x v="5"/>
    <n v="4"/>
    <x v="0"/>
    <n v="16659"/>
    <n v="23258"/>
    <n v="2"/>
    <s v="Y"/>
    <x v="0"/>
    <n v="13"/>
    <n v="3"/>
    <n v="3"/>
    <n v="80"/>
    <n v="0"/>
    <n v="30"/>
    <n v="2"/>
    <x v="1"/>
    <n v="5"/>
    <n v="4"/>
    <n v="1"/>
    <n v="2"/>
    <x v="2"/>
    <x v="1"/>
  </r>
  <r>
    <n v="24"/>
    <x v="1"/>
    <x v="0"/>
    <n v="1371"/>
    <x v="0"/>
    <n v="10"/>
    <n v="4"/>
    <s v="Marketing"/>
    <n v="1"/>
    <n v="507"/>
    <n v="4"/>
    <s v="Female"/>
    <n v="77"/>
    <n v="3"/>
    <n v="2"/>
    <x v="0"/>
    <n v="3"/>
    <x v="2"/>
    <n v="4260"/>
    <n v="5915"/>
    <n v="1"/>
    <s v="Y"/>
    <x v="0"/>
    <n v="12"/>
    <n v="3"/>
    <n v="4"/>
    <n v="80"/>
    <n v="1"/>
    <n v="5"/>
    <n v="2"/>
    <x v="3"/>
    <n v="5"/>
    <n v="2"/>
    <n v="0"/>
    <n v="3"/>
    <x v="1"/>
    <x v="3"/>
  </r>
  <r>
    <n v="30"/>
    <x v="1"/>
    <x v="0"/>
    <n v="202"/>
    <x v="0"/>
    <n v="2"/>
    <n v="1"/>
    <s v="Technical Degree"/>
    <n v="1"/>
    <n v="508"/>
    <n v="3"/>
    <s v="Male"/>
    <n v="72"/>
    <n v="3"/>
    <n v="1"/>
    <x v="6"/>
    <n v="2"/>
    <x v="1"/>
    <n v="2476"/>
    <n v="17434"/>
    <n v="1"/>
    <s v="Y"/>
    <x v="1"/>
    <n v="18"/>
    <n v="3"/>
    <n v="1"/>
    <n v="80"/>
    <n v="1"/>
    <n v="1"/>
    <n v="3"/>
    <x v="1"/>
    <n v="1"/>
    <n v="0"/>
    <n v="0"/>
    <n v="0"/>
    <x v="1"/>
    <x v="1"/>
  </r>
  <r>
    <n v="26"/>
    <x v="0"/>
    <x v="1"/>
    <n v="575"/>
    <x v="1"/>
    <n v="3"/>
    <n v="1"/>
    <s v="Technical Degree"/>
    <n v="1"/>
    <n v="510"/>
    <n v="3"/>
    <s v="Male"/>
    <n v="73"/>
    <n v="3"/>
    <n v="1"/>
    <x v="1"/>
    <n v="1"/>
    <x v="0"/>
    <n v="3102"/>
    <n v="6582"/>
    <n v="0"/>
    <s v="Y"/>
    <x v="1"/>
    <n v="22"/>
    <n v="4"/>
    <n v="3"/>
    <n v="80"/>
    <n v="0"/>
    <n v="7"/>
    <n v="2"/>
    <x v="1"/>
    <n v="6"/>
    <n v="4"/>
    <n v="0"/>
    <n v="4"/>
    <x v="1"/>
    <x v="1"/>
  </r>
  <r>
    <n v="22"/>
    <x v="1"/>
    <x v="0"/>
    <n v="253"/>
    <x v="1"/>
    <n v="11"/>
    <n v="3"/>
    <s v="Medical"/>
    <n v="1"/>
    <n v="511"/>
    <n v="1"/>
    <s v="Female"/>
    <n v="43"/>
    <n v="3"/>
    <n v="1"/>
    <x v="1"/>
    <n v="2"/>
    <x v="1"/>
    <n v="2244"/>
    <n v="24440"/>
    <n v="1"/>
    <s v="Y"/>
    <x v="1"/>
    <n v="13"/>
    <n v="3"/>
    <n v="4"/>
    <n v="80"/>
    <n v="1"/>
    <n v="2"/>
    <n v="1"/>
    <x v="1"/>
    <n v="2"/>
    <n v="1"/>
    <n v="1"/>
    <n v="2"/>
    <x v="1"/>
    <x v="1"/>
  </r>
  <r>
    <n v="36"/>
    <x v="1"/>
    <x v="0"/>
    <n v="164"/>
    <x v="0"/>
    <n v="2"/>
    <n v="2"/>
    <s v="Medical"/>
    <n v="1"/>
    <n v="513"/>
    <n v="2"/>
    <s v="Male"/>
    <n v="61"/>
    <n v="2"/>
    <n v="3"/>
    <x v="0"/>
    <n v="3"/>
    <x v="1"/>
    <n v="7596"/>
    <n v="3809"/>
    <n v="1"/>
    <s v="Y"/>
    <x v="1"/>
    <n v="13"/>
    <n v="3"/>
    <n v="2"/>
    <n v="80"/>
    <n v="2"/>
    <n v="10"/>
    <n v="2"/>
    <x v="1"/>
    <n v="10"/>
    <n v="9"/>
    <n v="9"/>
    <n v="0"/>
    <x v="0"/>
    <x v="1"/>
  </r>
  <r>
    <n v="30"/>
    <x v="0"/>
    <x v="1"/>
    <n v="464"/>
    <x v="1"/>
    <n v="4"/>
    <n v="3"/>
    <s v="Technical Degree"/>
    <n v="1"/>
    <n v="514"/>
    <n v="3"/>
    <s v="Male"/>
    <n v="40"/>
    <n v="3"/>
    <n v="1"/>
    <x v="1"/>
    <n v="4"/>
    <x v="0"/>
    <n v="2285"/>
    <n v="3427"/>
    <n v="9"/>
    <s v="Y"/>
    <x v="0"/>
    <n v="23"/>
    <n v="4"/>
    <n v="3"/>
    <n v="80"/>
    <n v="0"/>
    <n v="3"/>
    <n v="4"/>
    <x v="1"/>
    <n v="1"/>
    <n v="0"/>
    <n v="0"/>
    <n v="0"/>
    <x v="1"/>
    <x v="1"/>
  </r>
  <r>
    <n v="37"/>
    <x v="1"/>
    <x v="0"/>
    <n v="1107"/>
    <x v="1"/>
    <n v="14"/>
    <n v="3"/>
    <s v="Life Sciences"/>
    <n v="1"/>
    <n v="515"/>
    <n v="4"/>
    <s v="Female"/>
    <n v="95"/>
    <n v="3"/>
    <n v="1"/>
    <x v="2"/>
    <n v="1"/>
    <x v="2"/>
    <n v="3034"/>
    <n v="26914"/>
    <n v="1"/>
    <s v="Y"/>
    <x v="1"/>
    <n v="12"/>
    <n v="3"/>
    <n v="3"/>
    <n v="80"/>
    <n v="1"/>
    <n v="18"/>
    <n v="2"/>
    <x v="2"/>
    <n v="18"/>
    <n v="7"/>
    <n v="12"/>
    <n v="17"/>
    <x v="0"/>
    <x v="2"/>
  </r>
  <r>
    <n v="40"/>
    <x v="1"/>
    <x v="0"/>
    <n v="759"/>
    <x v="0"/>
    <n v="2"/>
    <n v="2"/>
    <s v="Marketing"/>
    <n v="1"/>
    <n v="516"/>
    <n v="4"/>
    <s v="Female"/>
    <n v="46"/>
    <n v="3"/>
    <n v="2"/>
    <x v="0"/>
    <n v="2"/>
    <x v="2"/>
    <n v="5715"/>
    <n v="22553"/>
    <n v="7"/>
    <s v="Y"/>
    <x v="1"/>
    <n v="12"/>
    <n v="3"/>
    <n v="3"/>
    <n v="80"/>
    <n v="2"/>
    <n v="8"/>
    <n v="5"/>
    <x v="1"/>
    <n v="5"/>
    <n v="4"/>
    <n v="1"/>
    <n v="3"/>
    <x v="0"/>
    <x v="1"/>
  </r>
  <r>
    <n v="42"/>
    <x v="1"/>
    <x v="0"/>
    <n v="201"/>
    <x v="1"/>
    <n v="1"/>
    <n v="4"/>
    <s v="Life Sciences"/>
    <n v="1"/>
    <n v="517"/>
    <n v="2"/>
    <s v="Female"/>
    <n v="95"/>
    <n v="3"/>
    <n v="1"/>
    <x v="2"/>
    <n v="1"/>
    <x v="2"/>
    <n v="2576"/>
    <n v="20490"/>
    <n v="3"/>
    <s v="Y"/>
    <x v="1"/>
    <n v="16"/>
    <n v="3"/>
    <n v="2"/>
    <n v="80"/>
    <n v="1"/>
    <n v="8"/>
    <n v="5"/>
    <x v="1"/>
    <n v="5"/>
    <n v="2"/>
    <n v="1"/>
    <n v="2"/>
    <x v="0"/>
    <x v="1"/>
  </r>
  <r>
    <n v="37"/>
    <x v="1"/>
    <x v="0"/>
    <n v="1305"/>
    <x v="1"/>
    <n v="10"/>
    <n v="4"/>
    <s v="Life Sciences"/>
    <n v="1"/>
    <n v="518"/>
    <n v="3"/>
    <s v="Male"/>
    <n v="49"/>
    <n v="3"/>
    <n v="2"/>
    <x v="3"/>
    <n v="2"/>
    <x v="0"/>
    <n v="4197"/>
    <n v="21123"/>
    <n v="2"/>
    <s v="Y"/>
    <x v="0"/>
    <n v="12"/>
    <n v="3"/>
    <n v="4"/>
    <n v="80"/>
    <n v="0"/>
    <n v="18"/>
    <n v="2"/>
    <x v="2"/>
    <n v="1"/>
    <n v="0"/>
    <n v="0"/>
    <n v="1"/>
    <x v="0"/>
    <x v="2"/>
  </r>
  <r>
    <n v="43"/>
    <x v="1"/>
    <x v="0"/>
    <n v="982"/>
    <x v="1"/>
    <n v="12"/>
    <n v="3"/>
    <s v="Life Sciences"/>
    <n v="1"/>
    <n v="520"/>
    <n v="1"/>
    <s v="Male"/>
    <n v="59"/>
    <n v="2"/>
    <n v="4"/>
    <x v="7"/>
    <n v="2"/>
    <x v="2"/>
    <n v="14336"/>
    <n v="4345"/>
    <n v="1"/>
    <s v="Y"/>
    <x v="1"/>
    <n v="11"/>
    <n v="3"/>
    <n v="3"/>
    <n v="80"/>
    <n v="1"/>
    <n v="25"/>
    <n v="3"/>
    <x v="1"/>
    <n v="25"/>
    <n v="10"/>
    <n v="3"/>
    <n v="9"/>
    <x v="0"/>
    <x v="1"/>
  </r>
  <r>
    <n v="40"/>
    <x v="1"/>
    <x v="0"/>
    <n v="555"/>
    <x v="1"/>
    <n v="2"/>
    <n v="3"/>
    <s v="Medical"/>
    <n v="1"/>
    <n v="521"/>
    <n v="2"/>
    <s v="Female"/>
    <n v="78"/>
    <n v="2"/>
    <n v="2"/>
    <x v="2"/>
    <n v="3"/>
    <x v="1"/>
    <n v="3448"/>
    <n v="13436"/>
    <n v="6"/>
    <s v="Y"/>
    <x v="1"/>
    <n v="22"/>
    <n v="4"/>
    <n v="2"/>
    <n v="80"/>
    <n v="1"/>
    <n v="20"/>
    <n v="3"/>
    <x v="1"/>
    <n v="1"/>
    <n v="0"/>
    <n v="0"/>
    <n v="0"/>
    <x v="0"/>
    <x v="1"/>
  </r>
  <r>
    <n v="54"/>
    <x v="1"/>
    <x v="0"/>
    <n v="821"/>
    <x v="1"/>
    <n v="5"/>
    <n v="2"/>
    <s v="Medical"/>
    <n v="1"/>
    <n v="522"/>
    <n v="1"/>
    <s v="Male"/>
    <n v="86"/>
    <n v="3"/>
    <n v="5"/>
    <x v="7"/>
    <n v="1"/>
    <x v="1"/>
    <n v="19406"/>
    <n v="8509"/>
    <n v="4"/>
    <s v="Y"/>
    <x v="1"/>
    <n v="11"/>
    <n v="3"/>
    <n v="3"/>
    <n v="80"/>
    <n v="1"/>
    <n v="24"/>
    <n v="4"/>
    <x v="2"/>
    <n v="4"/>
    <n v="2"/>
    <n v="1"/>
    <n v="2"/>
    <x v="2"/>
    <x v="2"/>
  </r>
  <r>
    <n v="34"/>
    <x v="1"/>
    <x v="2"/>
    <n v="1381"/>
    <x v="0"/>
    <n v="4"/>
    <n v="4"/>
    <s v="Marketing"/>
    <n v="1"/>
    <n v="523"/>
    <n v="3"/>
    <s v="Female"/>
    <n v="72"/>
    <n v="3"/>
    <n v="2"/>
    <x v="0"/>
    <n v="3"/>
    <x v="1"/>
    <n v="6538"/>
    <n v="12740"/>
    <n v="9"/>
    <s v="Y"/>
    <x v="1"/>
    <n v="15"/>
    <n v="3"/>
    <n v="1"/>
    <n v="80"/>
    <n v="1"/>
    <n v="6"/>
    <n v="3"/>
    <x v="1"/>
    <n v="3"/>
    <n v="2"/>
    <n v="1"/>
    <n v="2"/>
    <x v="0"/>
    <x v="1"/>
  </r>
  <r>
    <n v="31"/>
    <x v="1"/>
    <x v="0"/>
    <n v="480"/>
    <x v="1"/>
    <n v="7"/>
    <n v="2"/>
    <s v="Medical"/>
    <n v="1"/>
    <n v="524"/>
    <n v="2"/>
    <s v="Female"/>
    <n v="31"/>
    <n v="3"/>
    <n v="2"/>
    <x v="3"/>
    <n v="1"/>
    <x v="1"/>
    <n v="4306"/>
    <n v="4156"/>
    <n v="1"/>
    <s v="Y"/>
    <x v="1"/>
    <n v="12"/>
    <n v="3"/>
    <n v="2"/>
    <n v="80"/>
    <n v="1"/>
    <n v="13"/>
    <n v="5"/>
    <x v="0"/>
    <n v="13"/>
    <n v="10"/>
    <n v="3"/>
    <n v="12"/>
    <x v="0"/>
    <x v="0"/>
  </r>
  <r>
    <n v="43"/>
    <x v="1"/>
    <x v="1"/>
    <n v="313"/>
    <x v="1"/>
    <n v="21"/>
    <n v="3"/>
    <s v="Medical"/>
    <n v="1"/>
    <n v="525"/>
    <n v="4"/>
    <s v="Male"/>
    <n v="61"/>
    <n v="3"/>
    <n v="1"/>
    <x v="2"/>
    <n v="4"/>
    <x v="1"/>
    <n v="2258"/>
    <n v="15238"/>
    <n v="7"/>
    <s v="Y"/>
    <x v="1"/>
    <n v="20"/>
    <n v="4"/>
    <n v="1"/>
    <n v="80"/>
    <n v="1"/>
    <n v="8"/>
    <n v="1"/>
    <x v="1"/>
    <n v="3"/>
    <n v="2"/>
    <n v="1"/>
    <n v="2"/>
    <x v="0"/>
    <x v="1"/>
  </r>
  <r>
    <n v="43"/>
    <x v="1"/>
    <x v="0"/>
    <n v="1473"/>
    <x v="1"/>
    <n v="8"/>
    <n v="4"/>
    <s v="Other"/>
    <n v="1"/>
    <n v="526"/>
    <n v="3"/>
    <s v="Female"/>
    <n v="74"/>
    <n v="3"/>
    <n v="2"/>
    <x v="4"/>
    <n v="3"/>
    <x v="2"/>
    <n v="4522"/>
    <n v="2227"/>
    <n v="4"/>
    <s v="Y"/>
    <x v="0"/>
    <n v="14"/>
    <n v="3"/>
    <n v="4"/>
    <n v="80"/>
    <n v="0"/>
    <n v="8"/>
    <n v="3"/>
    <x v="1"/>
    <n v="5"/>
    <n v="2"/>
    <n v="0"/>
    <n v="2"/>
    <x v="0"/>
    <x v="1"/>
  </r>
  <r>
    <n v="25"/>
    <x v="1"/>
    <x v="0"/>
    <n v="891"/>
    <x v="0"/>
    <n v="4"/>
    <n v="2"/>
    <s v="Life Sciences"/>
    <n v="1"/>
    <n v="527"/>
    <n v="2"/>
    <s v="Female"/>
    <n v="99"/>
    <n v="2"/>
    <n v="2"/>
    <x v="0"/>
    <n v="4"/>
    <x v="0"/>
    <n v="4487"/>
    <n v="12090"/>
    <n v="1"/>
    <s v="Y"/>
    <x v="0"/>
    <n v="11"/>
    <n v="3"/>
    <n v="2"/>
    <n v="80"/>
    <n v="0"/>
    <n v="5"/>
    <n v="3"/>
    <x v="1"/>
    <n v="5"/>
    <n v="4"/>
    <n v="1"/>
    <n v="3"/>
    <x v="1"/>
    <x v="1"/>
  </r>
  <r>
    <n v="37"/>
    <x v="1"/>
    <x v="2"/>
    <n v="1063"/>
    <x v="1"/>
    <n v="25"/>
    <n v="5"/>
    <s v="Medical"/>
    <n v="1"/>
    <n v="529"/>
    <n v="2"/>
    <s v="Female"/>
    <n v="72"/>
    <n v="3"/>
    <n v="2"/>
    <x v="1"/>
    <n v="3"/>
    <x v="1"/>
    <n v="4449"/>
    <n v="23866"/>
    <n v="3"/>
    <s v="Y"/>
    <x v="0"/>
    <n v="15"/>
    <n v="3"/>
    <n v="1"/>
    <n v="80"/>
    <n v="2"/>
    <n v="15"/>
    <n v="2"/>
    <x v="1"/>
    <n v="13"/>
    <n v="11"/>
    <n v="10"/>
    <n v="7"/>
    <x v="0"/>
    <x v="1"/>
  </r>
  <r>
    <n v="31"/>
    <x v="1"/>
    <x v="0"/>
    <n v="329"/>
    <x v="1"/>
    <n v="1"/>
    <n v="2"/>
    <s v="Life Sciences"/>
    <n v="1"/>
    <n v="530"/>
    <n v="4"/>
    <s v="Male"/>
    <n v="98"/>
    <n v="2"/>
    <n v="1"/>
    <x v="2"/>
    <n v="1"/>
    <x v="1"/>
    <n v="2218"/>
    <n v="16193"/>
    <n v="1"/>
    <s v="Y"/>
    <x v="1"/>
    <n v="12"/>
    <n v="3"/>
    <n v="3"/>
    <n v="80"/>
    <n v="1"/>
    <n v="4"/>
    <n v="3"/>
    <x v="1"/>
    <n v="4"/>
    <n v="2"/>
    <n v="3"/>
    <n v="2"/>
    <x v="0"/>
    <x v="1"/>
  </r>
  <r>
    <n v="39"/>
    <x v="1"/>
    <x v="1"/>
    <n v="1218"/>
    <x v="1"/>
    <n v="1"/>
    <n v="1"/>
    <s v="Life Sciences"/>
    <n v="1"/>
    <n v="531"/>
    <n v="2"/>
    <s v="Male"/>
    <n v="52"/>
    <n v="3"/>
    <n v="5"/>
    <x v="5"/>
    <n v="3"/>
    <x v="2"/>
    <n v="19197"/>
    <n v="8213"/>
    <n v="1"/>
    <s v="Y"/>
    <x v="0"/>
    <n v="14"/>
    <n v="3"/>
    <n v="3"/>
    <n v="80"/>
    <n v="1"/>
    <n v="21"/>
    <n v="3"/>
    <x v="1"/>
    <n v="21"/>
    <n v="8"/>
    <n v="1"/>
    <n v="6"/>
    <x v="0"/>
    <x v="1"/>
  </r>
  <r>
    <n v="56"/>
    <x v="1"/>
    <x v="1"/>
    <n v="906"/>
    <x v="0"/>
    <n v="6"/>
    <n v="3"/>
    <s v="Life Sciences"/>
    <n v="1"/>
    <n v="532"/>
    <n v="3"/>
    <s v="Female"/>
    <n v="86"/>
    <n v="4"/>
    <n v="4"/>
    <x v="0"/>
    <n v="1"/>
    <x v="1"/>
    <n v="13212"/>
    <n v="18256"/>
    <n v="9"/>
    <s v="Y"/>
    <x v="1"/>
    <n v="11"/>
    <n v="3"/>
    <n v="4"/>
    <n v="80"/>
    <n v="3"/>
    <n v="36"/>
    <n v="0"/>
    <x v="2"/>
    <n v="7"/>
    <n v="7"/>
    <n v="7"/>
    <n v="7"/>
    <x v="2"/>
    <x v="2"/>
  </r>
  <r>
    <n v="30"/>
    <x v="1"/>
    <x v="0"/>
    <n v="1082"/>
    <x v="0"/>
    <n v="12"/>
    <n v="3"/>
    <s v="Technical Degree"/>
    <n v="1"/>
    <n v="533"/>
    <n v="2"/>
    <s v="Female"/>
    <n v="83"/>
    <n v="3"/>
    <n v="2"/>
    <x v="0"/>
    <n v="3"/>
    <x v="0"/>
    <n v="6577"/>
    <n v="19558"/>
    <n v="0"/>
    <s v="Y"/>
    <x v="1"/>
    <n v="11"/>
    <n v="3"/>
    <n v="2"/>
    <n v="80"/>
    <n v="0"/>
    <n v="6"/>
    <n v="6"/>
    <x v="1"/>
    <n v="5"/>
    <n v="4"/>
    <n v="4"/>
    <n v="4"/>
    <x v="1"/>
    <x v="1"/>
  </r>
  <r>
    <n v="41"/>
    <x v="1"/>
    <x v="0"/>
    <n v="645"/>
    <x v="0"/>
    <n v="1"/>
    <n v="3"/>
    <s v="Marketing"/>
    <n v="1"/>
    <n v="534"/>
    <n v="2"/>
    <s v="Male"/>
    <n v="49"/>
    <n v="4"/>
    <n v="3"/>
    <x v="0"/>
    <n v="1"/>
    <x v="1"/>
    <n v="8392"/>
    <n v="19566"/>
    <n v="1"/>
    <s v="Y"/>
    <x v="1"/>
    <n v="16"/>
    <n v="3"/>
    <n v="3"/>
    <n v="80"/>
    <n v="1"/>
    <n v="10"/>
    <n v="2"/>
    <x v="1"/>
    <n v="10"/>
    <n v="7"/>
    <n v="0"/>
    <n v="7"/>
    <x v="0"/>
    <x v="1"/>
  </r>
  <r>
    <n v="28"/>
    <x v="1"/>
    <x v="0"/>
    <n v="1300"/>
    <x v="1"/>
    <n v="17"/>
    <n v="2"/>
    <s v="Medical"/>
    <n v="1"/>
    <n v="536"/>
    <n v="3"/>
    <s v="Male"/>
    <n v="79"/>
    <n v="3"/>
    <n v="2"/>
    <x v="2"/>
    <n v="1"/>
    <x v="2"/>
    <n v="4558"/>
    <n v="13535"/>
    <n v="1"/>
    <s v="Y"/>
    <x v="1"/>
    <n v="12"/>
    <n v="3"/>
    <n v="4"/>
    <n v="80"/>
    <n v="1"/>
    <n v="10"/>
    <n v="2"/>
    <x v="1"/>
    <n v="10"/>
    <n v="0"/>
    <n v="1"/>
    <n v="8"/>
    <x v="1"/>
    <x v="1"/>
  </r>
  <r>
    <n v="25"/>
    <x v="0"/>
    <x v="0"/>
    <n v="688"/>
    <x v="1"/>
    <n v="3"/>
    <n v="3"/>
    <s v="Medical"/>
    <n v="1"/>
    <n v="538"/>
    <n v="1"/>
    <s v="Male"/>
    <n v="91"/>
    <n v="3"/>
    <n v="1"/>
    <x v="2"/>
    <n v="1"/>
    <x v="1"/>
    <n v="4031"/>
    <n v="9396"/>
    <n v="5"/>
    <s v="Y"/>
    <x v="1"/>
    <n v="13"/>
    <n v="3"/>
    <n v="3"/>
    <n v="80"/>
    <n v="1"/>
    <n v="6"/>
    <n v="5"/>
    <x v="1"/>
    <n v="2"/>
    <n v="2"/>
    <n v="0"/>
    <n v="2"/>
    <x v="1"/>
    <x v="1"/>
  </r>
  <r>
    <n v="52"/>
    <x v="1"/>
    <x v="0"/>
    <n v="319"/>
    <x v="1"/>
    <n v="3"/>
    <n v="3"/>
    <s v="Medical"/>
    <n v="1"/>
    <n v="543"/>
    <n v="4"/>
    <s v="Male"/>
    <n v="39"/>
    <n v="2"/>
    <n v="3"/>
    <x v="3"/>
    <n v="3"/>
    <x v="1"/>
    <n v="7969"/>
    <n v="19609"/>
    <n v="2"/>
    <s v="Y"/>
    <x v="0"/>
    <n v="14"/>
    <n v="3"/>
    <n v="3"/>
    <n v="80"/>
    <n v="0"/>
    <n v="28"/>
    <n v="4"/>
    <x v="1"/>
    <n v="5"/>
    <n v="4"/>
    <n v="0"/>
    <n v="4"/>
    <x v="2"/>
    <x v="1"/>
  </r>
  <r>
    <n v="45"/>
    <x v="1"/>
    <x v="0"/>
    <n v="192"/>
    <x v="1"/>
    <n v="10"/>
    <n v="2"/>
    <s v="Life Sciences"/>
    <n v="1"/>
    <n v="544"/>
    <n v="1"/>
    <s v="Male"/>
    <n v="69"/>
    <n v="3"/>
    <n v="1"/>
    <x v="1"/>
    <n v="4"/>
    <x v="1"/>
    <n v="2654"/>
    <n v="9655"/>
    <n v="3"/>
    <s v="Y"/>
    <x v="1"/>
    <n v="21"/>
    <n v="4"/>
    <n v="4"/>
    <n v="80"/>
    <n v="2"/>
    <n v="8"/>
    <n v="3"/>
    <x v="2"/>
    <n v="2"/>
    <n v="2"/>
    <n v="0"/>
    <n v="2"/>
    <x v="0"/>
    <x v="2"/>
  </r>
  <r>
    <n v="52"/>
    <x v="1"/>
    <x v="0"/>
    <n v="1490"/>
    <x v="1"/>
    <n v="4"/>
    <n v="2"/>
    <s v="Life Sciences"/>
    <n v="1"/>
    <n v="546"/>
    <n v="4"/>
    <s v="Female"/>
    <n v="30"/>
    <n v="3"/>
    <n v="4"/>
    <x v="5"/>
    <n v="4"/>
    <x v="1"/>
    <n v="16555"/>
    <n v="10310"/>
    <n v="2"/>
    <s v="Y"/>
    <x v="1"/>
    <n v="13"/>
    <n v="3"/>
    <n v="4"/>
    <n v="80"/>
    <n v="0"/>
    <n v="31"/>
    <n v="2"/>
    <x v="0"/>
    <n v="5"/>
    <n v="2"/>
    <n v="1"/>
    <n v="4"/>
    <x v="2"/>
    <x v="0"/>
  </r>
  <r>
    <n v="42"/>
    <x v="1"/>
    <x v="1"/>
    <n v="532"/>
    <x v="1"/>
    <n v="29"/>
    <n v="2"/>
    <s v="Life Sciences"/>
    <n v="1"/>
    <n v="547"/>
    <n v="1"/>
    <s v="Female"/>
    <n v="92"/>
    <n v="3"/>
    <n v="2"/>
    <x v="1"/>
    <n v="3"/>
    <x v="2"/>
    <n v="4556"/>
    <n v="12932"/>
    <n v="2"/>
    <s v="Y"/>
    <x v="1"/>
    <n v="11"/>
    <n v="3"/>
    <n v="2"/>
    <n v="80"/>
    <n v="1"/>
    <n v="19"/>
    <n v="3"/>
    <x v="1"/>
    <n v="5"/>
    <n v="4"/>
    <n v="0"/>
    <n v="2"/>
    <x v="0"/>
    <x v="1"/>
  </r>
  <r>
    <n v="30"/>
    <x v="1"/>
    <x v="0"/>
    <n v="317"/>
    <x v="1"/>
    <n v="2"/>
    <n v="3"/>
    <s v="Life Sciences"/>
    <n v="1"/>
    <n v="548"/>
    <n v="3"/>
    <s v="Female"/>
    <n v="43"/>
    <n v="1"/>
    <n v="2"/>
    <x v="3"/>
    <n v="4"/>
    <x v="0"/>
    <n v="6091"/>
    <n v="24793"/>
    <n v="2"/>
    <s v="Y"/>
    <x v="1"/>
    <n v="20"/>
    <n v="4"/>
    <n v="3"/>
    <n v="80"/>
    <n v="0"/>
    <n v="11"/>
    <n v="2"/>
    <x v="1"/>
    <n v="5"/>
    <n v="4"/>
    <n v="0"/>
    <n v="2"/>
    <x v="1"/>
    <x v="1"/>
  </r>
  <r>
    <n v="60"/>
    <x v="1"/>
    <x v="0"/>
    <n v="422"/>
    <x v="1"/>
    <n v="7"/>
    <n v="3"/>
    <s v="Life Sciences"/>
    <n v="1"/>
    <n v="549"/>
    <n v="1"/>
    <s v="Female"/>
    <n v="41"/>
    <n v="3"/>
    <n v="5"/>
    <x v="5"/>
    <n v="1"/>
    <x v="1"/>
    <n v="19566"/>
    <n v="3854"/>
    <n v="5"/>
    <s v="Y"/>
    <x v="1"/>
    <n v="11"/>
    <n v="3"/>
    <n v="4"/>
    <n v="80"/>
    <n v="0"/>
    <n v="33"/>
    <n v="5"/>
    <x v="0"/>
    <n v="29"/>
    <n v="8"/>
    <n v="11"/>
    <n v="10"/>
    <x v="2"/>
    <x v="0"/>
  </r>
  <r>
    <n v="46"/>
    <x v="1"/>
    <x v="0"/>
    <n v="1485"/>
    <x v="1"/>
    <n v="18"/>
    <n v="3"/>
    <s v="Medical"/>
    <n v="1"/>
    <n v="550"/>
    <n v="3"/>
    <s v="Female"/>
    <n v="87"/>
    <n v="3"/>
    <n v="2"/>
    <x v="3"/>
    <n v="3"/>
    <x v="2"/>
    <n v="4810"/>
    <n v="26314"/>
    <n v="2"/>
    <s v="Y"/>
    <x v="1"/>
    <n v="14"/>
    <n v="3"/>
    <n v="3"/>
    <n v="80"/>
    <n v="1"/>
    <n v="19"/>
    <n v="5"/>
    <x v="2"/>
    <n v="10"/>
    <n v="7"/>
    <n v="0"/>
    <n v="8"/>
    <x v="0"/>
    <x v="2"/>
  </r>
  <r>
    <n v="42"/>
    <x v="1"/>
    <x v="1"/>
    <n v="1368"/>
    <x v="1"/>
    <n v="28"/>
    <n v="4"/>
    <s v="Technical Degree"/>
    <n v="1"/>
    <n v="551"/>
    <n v="4"/>
    <s v="Female"/>
    <n v="88"/>
    <n v="2"/>
    <n v="2"/>
    <x v="4"/>
    <n v="4"/>
    <x v="1"/>
    <n v="4523"/>
    <n v="4386"/>
    <n v="0"/>
    <s v="Y"/>
    <x v="1"/>
    <n v="11"/>
    <n v="3"/>
    <n v="4"/>
    <n v="80"/>
    <n v="3"/>
    <n v="7"/>
    <n v="4"/>
    <x v="3"/>
    <n v="6"/>
    <n v="5"/>
    <n v="0"/>
    <n v="4"/>
    <x v="0"/>
    <x v="3"/>
  </r>
  <r>
    <n v="24"/>
    <x v="0"/>
    <x v="0"/>
    <n v="1448"/>
    <x v="0"/>
    <n v="1"/>
    <n v="1"/>
    <s v="Technical Degree"/>
    <n v="1"/>
    <n v="554"/>
    <n v="1"/>
    <s v="Female"/>
    <n v="62"/>
    <n v="3"/>
    <n v="1"/>
    <x v="6"/>
    <n v="2"/>
    <x v="0"/>
    <n v="3202"/>
    <n v="21972"/>
    <n v="1"/>
    <s v="Y"/>
    <x v="0"/>
    <n v="16"/>
    <n v="3"/>
    <n v="2"/>
    <n v="80"/>
    <n v="0"/>
    <n v="6"/>
    <n v="4"/>
    <x v="1"/>
    <n v="5"/>
    <n v="3"/>
    <n v="1"/>
    <n v="4"/>
    <x v="1"/>
    <x v="1"/>
  </r>
  <r>
    <n v="34"/>
    <x v="0"/>
    <x v="1"/>
    <n v="296"/>
    <x v="0"/>
    <n v="6"/>
    <n v="2"/>
    <s v="Marketing"/>
    <n v="1"/>
    <n v="555"/>
    <n v="4"/>
    <s v="Female"/>
    <n v="33"/>
    <n v="1"/>
    <n v="1"/>
    <x v="6"/>
    <n v="3"/>
    <x v="2"/>
    <n v="2351"/>
    <n v="12253"/>
    <n v="0"/>
    <s v="Y"/>
    <x v="1"/>
    <n v="16"/>
    <n v="3"/>
    <n v="4"/>
    <n v="80"/>
    <n v="1"/>
    <n v="3"/>
    <n v="3"/>
    <x v="2"/>
    <n v="2"/>
    <n v="2"/>
    <n v="1"/>
    <n v="0"/>
    <x v="0"/>
    <x v="2"/>
  </r>
  <r>
    <n v="38"/>
    <x v="1"/>
    <x v="1"/>
    <n v="1490"/>
    <x v="1"/>
    <n v="2"/>
    <n v="2"/>
    <s v="Life Sciences"/>
    <n v="1"/>
    <n v="556"/>
    <n v="4"/>
    <s v="Male"/>
    <n v="42"/>
    <n v="3"/>
    <n v="1"/>
    <x v="2"/>
    <n v="4"/>
    <x v="1"/>
    <n v="1702"/>
    <n v="12106"/>
    <n v="1"/>
    <s v="Y"/>
    <x v="0"/>
    <n v="23"/>
    <n v="4"/>
    <n v="3"/>
    <n v="80"/>
    <n v="1"/>
    <n v="1"/>
    <n v="3"/>
    <x v="1"/>
    <n v="1"/>
    <n v="0"/>
    <n v="0"/>
    <n v="0"/>
    <x v="0"/>
    <x v="1"/>
  </r>
  <r>
    <n v="40"/>
    <x v="1"/>
    <x v="0"/>
    <n v="1398"/>
    <x v="0"/>
    <n v="2"/>
    <n v="4"/>
    <s v="Life Sciences"/>
    <n v="1"/>
    <n v="558"/>
    <n v="3"/>
    <s v="Female"/>
    <n v="79"/>
    <n v="3"/>
    <n v="5"/>
    <x v="5"/>
    <n v="3"/>
    <x v="1"/>
    <n v="18041"/>
    <n v="13022"/>
    <n v="0"/>
    <s v="Y"/>
    <x v="1"/>
    <n v="14"/>
    <n v="3"/>
    <n v="4"/>
    <n v="80"/>
    <n v="0"/>
    <n v="21"/>
    <n v="2"/>
    <x v="1"/>
    <n v="20"/>
    <n v="15"/>
    <n v="1"/>
    <n v="12"/>
    <x v="0"/>
    <x v="1"/>
  </r>
  <r>
    <n v="26"/>
    <x v="1"/>
    <x v="0"/>
    <n v="1349"/>
    <x v="1"/>
    <n v="23"/>
    <n v="3"/>
    <s v="Life Sciences"/>
    <n v="1"/>
    <n v="560"/>
    <n v="1"/>
    <s v="Female"/>
    <n v="90"/>
    <n v="3"/>
    <n v="1"/>
    <x v="1"/>
    <n v="4"/>
    <x v="2"/>
    <n v="2886"/>
    <n v="3032"/>
    <n v="1"/>
    <s v="Y"/>
    <x v="1"/>
    <n v="22"/>
    <n v="4"/>
    <n v="2"/>
    <n v="80"/>
    <n v="2"/>
    <n v="3"/>
    <n v="3"/>
    <x v="0"/>
    <n v="3"/>
    <n v="2"/>
    <n v="0"/>
    <n v="2"/>
    <x v="1"/>
    <x v="0"/>
  </r>
  <r>
    <n v="30"/>
    <x v="1"/>
    <x v="2"/>
    <n v="1400"/>
    <x v="1"/>
    <n v="3"/>
    <n v="3"/>
    <s v="Life Sciences"/>
    <n v="1"/>
    <n v="562"/>
    <n v="3"/>
    <s v="Male"/>
    <n v="53"/>
    <n v="3"/>
    <n v="1"/>
    <x v="2"/>
    <n v="4"/>
    <x v="1"/>
    <n v="2097"/>
    <n v="16734"/>
    <n v="4"/>
    <s v="Y"/>
    <x v="1"/>
    <n v="15"/>
    <n v="3"/>
    <n v="3"/>
    <n v="80"/>
    <n v="1"/>
    <n v="9"/>
    <n v="3"/>
    <x v="0"/>
    <n v="5"/>
    <n v="3"/>
    <n v="1"/>
    <n v="4"/>
    <x v="1"/>
    <x v="0"/>
  </r>
  <r>
    <n v="29"/>
    <x v="1"/>
    <x v="0"/>
    <n v="986"/>
    <x v="1"/>
    <n v="3"/>
    <n v="4"/>
    <s v="Medical"/>
    <n v="1"/>
    <n v="564"/>
    <n v="2"/>
    <s v="Male"/>
    <n v="93"/>
    <n v="2"/>
    <n v="3"/>
    <x v="7"/>
    <n v="3"/>
    <x v="1"/>
    <n v="11935"/>
    <n v="21526"/>
    <n v="1"/>
    <s v="Y"/>
    <x v="1"/>
    <n v="18"/>
    <n v="3"/>
    <n v="3"/>
    <n v="80"/>
    <n v="0"/>
    <n v="10"/>
    <n v="2"/>
    <x v="1"/>
    <n v="10"/>
    <n v="2"/>
    <n v="0"/>
    <n v="7"/>
    <x v="1"/>
    <x v="1"/>
  </r>
  <r>
    <n v="29"/>
    <x v="0"/>
    <x v="0"/>
    <n v="408"/>
    <x v="1"/>
    <n v="25"/>
    <n v="5"/>
    <s v="Technical Degree"/>
    <n v="1"/>
    <n v="565"/>
    <n v="3"/>
    <s v="Female"/>
    <n v="71"/>
    <n v="2"/>
    <n v="1"/>
    <x v="1"/>
    <n v="2"/>
    <x v="1"/>
    <n v="2546"/>
    <n v="18300"/>
    <n v="5"/>
    <s v="Y"/>
    <x v="1"/>
    <n v="16"/>
    <n v="3"/>
    <n v="2"/>
    <n v="80"/>
    <n v="0"/>
    <n v="6"/>
    <n v="2"/>
    <x v="3"/>
    <n v="2"/>
    <n v="2"/>
    <n v="1"/>
    <n v="1"/>
    <x v="1"/>
    <x v="3"/>
  </r>
  <r>
    <n v="19"/>
    <x v="0"/>
    <x v="0"/>
    <n v="489"/>
    <x v="2"/>
    <n v="2"/>
    <n v="2"/>
    <s v="Technical Degree"/>
    <n v="1"/>
    <n v="566"/>
    <n v="1"/>
    <s v="Male"/>
    <n v="52"/>
    <n v="2"/>
    <n v="1"/>
    <x v="8"/>
    <n v="4"/>
    <x v="0"/>
    <n v="2564"/>
    <n v="18437"/>
    <n v="1"/>
    <s v="Y"/>
    <x v="1"/>
    <n v="12"/>
    <n v="3"/>
    <n v="3"/>
    <n v="80"/>
    <n v="0"/>
    <n v="1"/>
    <n v="3"/>
    <x v="3"/>
    <n v="1"/>
    <n v="0"/>
    <n v="0"/>
    <n v="0"/>
    <x v="1"/>
    <x v="3"/>
  </r>
  <r>
    <n v="30"/>
    <x v="1"/>
    <x v="2"/>
    <n v="1398"/>
    <x v="0"/>
    <n v="22"/>
    <n v="4"/>
    <s v="Other"/>
    <n v="1"/>
    <n v="567"/>
    <n v="3"/>
    <s v="Female"/>
    <n v="69"/>
    <n v="3"/>
    <n v="3"/>
    <x v="0"/>
    <n v="1"/>
    <x v="1"/>
    <n v="8412"/>
    <n v="2890"/>
    <n v="0"/>
    <s v="Y"/>
    <x v="1"/>
    <n v="11"/>
    <n v="3"/>
    <n v="3"/>
    <n v="80"/>
    <n v="0"/>
    <n v="10"/>
    <n v="3"/>
    <x v="1"/>
    <n v="9"/>
    <n v="8"/>
    <n v="7"/>
    <n v="8"/>
    <x v="1"/>
    <x v="1"/>
  </r>
  <r>
    <n v="57"/>
    <x v="1"/>
    <x v="0"/>
    <n v="210"/>
    <x v="0"/>
    <n v="29"/>
    <n v="3"/>
    <s v="Marketing"/>
    <n v="1"/>
    <n v="568"/>
    <n v="1"/>
    <s v="Male"/>
    <n v="56"/>
    <n v="2"/>
    <n v="4"/>
    <x v="5"/>
    <n v="4"/>
    <x v="2"/>
    <n v="14118"/>
    <n v="22102"/>
    <n v="3"/>
    <s v="Y"/>
    <x v="1"/>
    <n v="12"/>
    <n v="3"/>
    <n v="3"/>
    <n v="80"/>
    <n v="1"/>
    <n v="32"/>
    <n v="3"/>
    <x v="2"/>
    <n v="1"/>
    <n v="0"/>
    <n v="0"/>
    <n v="0"/>
    <x v="2"/>
    <x v="2"/>
  </r>
  <r>
    <n v="50"/>
    <x v="1"/>
    <x v="0"/>
    <n v="1099"/>
    <x v="1"/>
    <n v="29"/>
    <n v="4"/>
    <s v="Life Sciences"/>
    <n v="1"/>
    <n v="569"/>
    <n v="2"/>
    <s v="Male"/>
    <n v="88"/>
    <n v="2"/>
    <n v="4"/>
    <x v="5"/>
    <n v="3"/>
    <x v="1"/>
    <n v="17046"/>
    <n v="9314"/>
    <n v="0"/>
    <s v="Y"/>
    <x v="1"/>
    <n v="15"/>
    <n v="3"/>
    <n v="2"/>
    <n v="80"/>
    <n v="1"/>
    <n v="28"/>
    <n v="2"/>
    <x v="1"/>
    <n v="27"/>
    <n v="10"/>
    <n v="15"/>
    <n v="7"/>
    <x v="0"/>
    <x v="1"/>
  </r>
  <r>
    <n v="30"/>
    <x v="1"/>
    <x v="2"/>
    <n v="1116"/>
    <x v="1"/>
    <n v="2"/>
    <n v="3"/>
    <s v="Medical"/>
    <n v="1"/>
    <n v="571"/>
    <n v="3"/>
    <s v="Female"/>
    <n v="49"/>
    <n v="3"/>
    <n v="1"/>
    <x v="2"/>
    <n v="4"/>
    <x v="0"/>
    <n v="2564"/>
    <n v="7181"/>
    <n v="0"/>
    <s v="Y"/>
    <x v="1"/>
    <n v="14"/>
    <n v="3"/>
    <n v="3"/>
    <n v="80"/>
    <n v="0"/>
    <n v="12"/>
    <n v="2"/>
    <x v="2"/>
    <n v="11"/>
    <n v="7"/>
    <n v="6"/>
    <n v="7"/>
    <x v="1"/>
    <x v="2"/>
  </r>
  <r>
    <n v="60"/>
    <x v="1"/>
    <x v="1"/>
    <n v="1499"/>
    <x v="0"/>
    <n v="28"/>
    <n v="3"/>
    <s v="Marketing"/>
    <n v="1"/>
    <n v="573"/>
    <n v="3"/>
    <s v="Female"/>
    <n v="80"/>
    <n v="2"/>
    <n v="3"/>
    <x v="0"/>
    <n v="1"/>
    <x v="1"/>
    <n v="10266"/>
    <n v="2845"/>
    <n v="4"/>
    <s v="Y"/>
    <x v="1"/>
    <n v="19"/>
    <n v="3"/>
    <n v="4"/>
    <n v="80"/>
    <n v="0"/>
    <n v="22"/>
    <n v="5"/>
    <x v="3"/>
    <n v="18"/>
    <n v="13"/>
    <n v="13"/>
    <n v="11"/>
    <x v="2"/>
    <x v="3"/>
  </r>
  <r>
    <n v="47"/>
    <x v="1"/>
    <x v="0"/>
    <n v="983"/>
    <x v="1"/>
    <n v="2"/>
    <n v="2"/>
    <s v="Medical"/>
    <n v="1"/>
    <n v="574"/>
    <n v="1"/>
    <s v="Female"/>
    <n v="65"/>
    <n v="3"/>
    <n v="2"/>
    <x v="3"/>
    <n v="4"/>
    <x v="2"/>
    <n v="5070"/>
    <n v="7389"/>
    <n v="5"/>
    <s v="Y"/>
    <x v="1"/>
    <n v="13"/>
    <n v="3"/>
    <n v="3"/>
    <n v="80"/>
    <n v="3"/>
    <n v="20"/>
    <n v="2"/>
    <x v="1"/>
    <n v="5"/>
    <n v="0"/>
    <n v="0"/>
    <n v="4"/>
    <x v="0"/>
    <x v="1"/>
  </r>
  <r>
    <n v="46"/>
    <x v="1"/>
    <x v="0"/>
    <n v="1009"/>
    <x v="1"/>
    <n v="2"/>
    <n v="3"/>
    <s v="Life Sciences"/>
    <n v="1"/>
    <n v="575"/>
    <n v="1"/>
    <s v="Male"/>
    <n v="51"/>
    <n v="3"/>
    <n v="4"/>
    <x v="7"/>
    <n v="3"/>
    <x v="1"/>
    <n v="17861"/>
    <n v="2288"/>
    <n v="6"/>
    <s v="Y"/>
    <x v="1"/>
    <n v="13"/>
    <n v="3"/>
    <n v="3"/>
    <n v="80"/>
    <n v="0"/>
    <n v="26"/>
    <n v="2"/>
    <x v="0"/>
    <n v="3"/>
    <n v="2"/>
    <n v="0"/>
    <n v="1"/>
    <x v="0"/>
    <x v="0"/>
  </r>
  <r>
    <n v="35"/>
    <x v="1"/>
    <x v="0"/>
    <n v="144"/>
    <x v="1"/>
    <n v="22"/>
    <n v="3"/>
    <s v="Life Sciences"/>
    <n v="1"/>
    <n v="577"/>
    <n v="4"/>
    <s v="Male"/>
    <n v="46"/>
    <n v="1"/>
    <n v="1"/>
    <x v="2"/>
    <n v="3"/>
    <x v="0"/>
    <n v="4230"/>
    <n v="19225"/>
    <n v="0"/>
    <s v="Y"/>
    <x v="1"/>
    <n v="15"/>
    <n v="3"/>
    <n v="3"/>
    <n v="80"/>
    <n v="0"/>
    <n v="6"/>
    <n v="2"/>
    <x v="1"/>
    <n v="5"/>
    <n v="4"/>
    <n v="4"/>
    <n v="3"/>
    <x v="0"/>
    <x v="1"/>
  </r>
  <r>
    <n v="54"/>
    <x v="1"/>
    <x v="0"/>
    <n v="548"/>
    <x v="1"/>
    <n v="8"/>
    <n v="4"/>
    <s v="Life Sciences"/>
    <n v="1"/>
    <n v="578"/>
    <n v="3"/>
    <s v="Female"/>
    <n v="42"/>
    <n v="3"/>
    <n v="2"/>
    <x v="2"/>
    <n v="3"/>
    <x v="0"/>
    <n v="3780"/>
    <n v="23428"/>
    <n v="7"/>
    <s v="Y"/>
    <x v="1"/>
    <n v="11"/>
    <n v="3"/>
    <n v="3"/>
    <n v="80"/>
    <n v="0"/>
    <n v="19"/>
    <n v="3"/>
    <x v="1"/>
    <n v="1"/>
    <n v="0"/>
    <n v="0"/>
    <n v="0"/>
    <x v="2"/>
    <x v="1"/>
  </r>
  <r>
    <n v="34"/>
    <x v="1"/>
    <x v="0"/>
    <n v="1303"/>
    <x v="1"/>
    <n v="2"/>
    <n v="4"/>
    <s v="Life Sciences"/>
    <n v="1"/>
    <n v="579"/>
    <n v="4"/>
    <s v="Male"/>
    <n v="62"/>
    <n v="2"/>
    <n v="1"/>
    <x v="1"/>
    <n v="3"/>
    <x v="2"/>
    <n v="2768"/>
    <n v="8416"/>
    <n v="3"/>
    <s v="Y"/>
    <x v="1"/>
    <n v="12"/>
    <n v="3"/>
    <n v="3"/>
    <n v="80"/>
    <n v="1"/>
    <n v="14"/>
    <n v="3"/>
    <x v="1"/>
    <n v="7"/>
    <n v="3"/>
    <n v="5"/>
    <n v="7"/>
    <x v="0"/>
    <x v="1"/>
  </r>
  <r>
    <n v="46"/>
    <x v="1"/>
    <x v="0"/>
    <n v="1125"/>
    <x v="0"/>
    <n v="10"/>
    <n v="3"/>
    <s v="Marketing"/>
    <n v="1"/>
    <n v="580"/>
    <n v="3"/>
    <s v="Female"/>
    <n v="94"/>
    <n v="2"/>
    <n v="3"/>
    <x v="0"/>
    <n v="4"/>
    <x v="1"/>
    <n v="9071"/>
    <n v="11563"/>
    <n v="2"/>
    <s v="Y"/>
    <x v="0"/>
    <n v="19"/>
    <n v="3"/>
    <n v="3"/>
    <n v="80"/>
    <n v="1"/>
    <n v="15"/>
    <n v="3"/>
    <x v="1"/>
    <n v="3"/>
    <n v="2"/>
    <n v="1"/>
    <n v="2"/>
    <x v="0"/>
    <x v="1"/>
  </r>
  <r>
    <n v="31"/>
    <x v="1"/>
    <x v="0"/>
    <n v="1274"/>
    <x v="1"/>
    <n v="9"/>
    <n v="1"/>
    <s v="Life Sciences"/>
    <n v="1"/>
    <n v="581"/>
    <n v="3"/>
    <s v="Male"/>
    <n v="33"/>
    <n v="3"/>
    <n v="3"/>
    <x v="3"/>
    <n v="2"/>
    <x v="2"/>
    <n v="10648"/>
    <n v="14394"/>
    <n v="1"/>
    <s v="Y"/>
    <x v="1"/>
    <n v="25"/>
    <n v="4"/>
    <n v="4"/>
    <n v="80"/>
    <n v="1"/>
    <n v="13"/>
    <n v="6"/>
    <x v="3"/>
    <n v="13"/>
    <n v="8"/>
    <n v="0"/>
    <n v="8"/>
    <x v="0"/>
    <x v="3"/>
  </r>
  <r>
    <n v="33"/>
    <x v="0"/>
    <x v="0"/>
    <n v="1277"/>
    <x v="1"/>
    <n v="15"/>
    <n v="1"/>
    <s v="Medical"/>
    <n v="1"/>
    <n v="582"/>
    <n v="2"/>
    <s v="Male"/>
    <n v="56"/>
    <n v="3"/>
    <n v="3"/>
    <x v="5"/>
    <n v="3"/>
    <x v="1"/>
    <n v="13610"/>
    <n v="24619"/>
    <n v="7"/>
    <s v="Y"/>
    <x v="0"/>
    <n v="12"/>
    <n v="3"/>
    <n v="4"/>
    <n v="80"/>
    <n v="0"/>
    <n v="15"/>
    <n v="2"/>
    <x v="3"/>
    <n v="7"/>
    <n v="6"/>
    <n v="7"/>
    <n v="7"/>
    <x v="0"/>
    <x v="3"/>
  </r>
  <r>
    <n v="33"/>
    <x v="0"/>
    <x v="0"/>
    <n v="587"/>
    <x v="1"/>
    <n v="10"/>
    <n v="1"/>
    <s v="Medical"/>
    <n v="1"/>
    <n v="584"/>
    <n v="1"/>
    <s v="Male"/>
    <n v="38"/>
    <n v="1"/>
    <n v="1"/>
    <x v="2"/>
    <n v="4"/>
    <x v="2"/>
    <n v="3408"/>
    <n v="6705"/>
    <n v="7"/>
    <s v="Y"/>
    <x v="1"/>
    <n v="13"/>
    <n v="3"/>
    <n v="1"/>
    <n v="80"/>
    <n v="3"/>
    <n v="8"/>
    <n v="2"/>
    <x v="1"/>
    <n v="4"/>
    <n v="3"/>
    <n v="1"/>
    <n v="3"/>
    <x v="0"/>
    <x v="1"/>
  </r>
  <r>
    <n v="30"/>
    <x v="1"/>
    <x v="0"/>
    <n v="413"/>
    <x v="0"/>
    <n v="7"/>
    <n v="1"/>
    <s v="Marketing"/>
    <n v="1"/>
    <n v="585"/>
    <n v="4"/>
    <s v="Male"/>
    <n v="57"/>
    <n v="3"/>
    <n v="1"/>
    <x v="6"/>
    <n v="2"/>
    <x v="0"/>
    <n v="2983"/>
    <n v="18398"/>
    <n v="0"/>
    <s v="Y"/>
    <x v="1"/>
    <n v="14"/>
    <n v="3"/>
    <n v="1"/>
    <n v="80"/>
    <n v="0"/>
    <n v="4"/>
    <n v="3"/>
    <x v="1"/>
    <n v="3"/>
    <n v="2"/>
    <n v="1"/>
    <n v="2"/>
    <x v="1"/>
    <x v="1"/>
  </r>
  <r>
    <n v="35"/>
    <x v="1"/>
    <x v="0"/>
    <n v="1276"/>
    <x v="1"/>
    <n v="16"/>
    <n v="3"/>
    <s v="Life Sciences"/>
    <n v="1"/>
    <n v="586"/>
    <n v="4"/>
    <s v="Male"/>
    <n v="72"/>
    <n v="3"/>
    <n v="3"/>
    <x v="4"/>
    <n v="3"/>
    <x v="1"/>
    <n v="7632"/>
    <n v="14295"/>
    <n v="4"/>
    <s v="Y"/>
    <x v="0"/>
    <n v="12"/>
    <n v="3"/>
    <n v="3"/>
    <n v="80"/>
    <n v="0"/>
    <n v="10"/>
    <n v="2"/>
    <x v="1"/>
    <n v="8"/>
    <n v="7"/>
    <n v="0"/>
    <n v="0"/>
    <x v="0"/>
    <x v="1"/>
  </r>
  <r>
    <n v="31"/>
    <x v="0"/>
    <x v="1"/>
    <n v="534"/>
    <x v="1"/>
    <n v="20"/>
    <n v="3"/>
    <s v="Life Sciences"/>
    <n v="1"/>
    <n v="587"/>
    <n v="1"/>
    <s v="Male"/>
    <n v="66"/>
    <n v="3"/>
    <n v="3"/>
    <x v="4"/>
    <n v="3"/>
    <x v="1"/>
    <n v="9824"/>
    <n v="22908"/>
    <n v="3"/>
    <s v="Y"/>
    <x v="1"/>
    <n v="12"/>
    <n v="3"/>
    <n v="1"/>
    <n v="80"/>
    <n v="0"/>
    <n v="12"/>
    <n v="2"/>
    <x v="1"/>
    <n v="1"/>
    <n v="0"/>
    <n v="0"/>
    <n v="0"/>
    <x v="0"/>
    <x v="1"/>
  </r>
  <r>
    <n v="34"/>
    <x v="0"/>
    <x v="1"/>
    <n v="988"/>
    <x v="2"/>
    <n v="23"/>
    <n v="3"/>
    <s v="Human Resources"/>
    <n v="1"/>
    <n v="590"/>
    <n v="2"/>
    <s v="Female"/>
    <n v="43"/>
    <n v="3"/>
    <n v="3"/>
    <x v="8"/>
    <n v="1"/>
    <x v="2"/>
    <n v="9950"/>
    <n v="11533"/>
    <n v="9"/>
    <s v="Y"/>
    <x v="0"/>
    <n v="15"/>
    <n v="3"/>
    <n v="3"/>
    <n v="80"/>
    <n v="3"/>
    <n v="11"/>
    <n v="2"/>
    <x v="1"/>
    <n v="3"/>
    <n v="2"/>
    <n v="0"/>
    <n v="2"/>
    <x v="0"/>
    <x v="1"/>
  </r>
  <r>
    <n v="42"/>
    <x v="1"/>
    <x v="1"/>
    <n v="1474"/>
    <x v="1"/>
    <n v="5"/>
    <n v="2"/>
    <s v="Other"/>
    <n v="1"/>
    <n v="591"/>
    <n v="2"/>
    <s v="Male"/>
    <n v="97"/>
    <n v="3"/>
    <n v="1"/>
    <x v="2"/>
    <n v="3"/>
    <x v="1"/>
    <n v="2093"/>
    <n v="9260"/>
    <n v="4"/>
    <s v="Y"/>
    <x v="1"/>
    <n v="17"/>
    <n v="3"/>
    <n v="4"/>
    <n v="80"/>
    <n v="1"/>
    <n v="8"/>
    <n v="4"/>
    <x v="1"/>
    <n v="2"/>
    <n v="2"/>
    <n v="2"/>
    <n v="0"/>
    <x v="0"/>
    <x v="1"/>
  </r>
  <r>
    <n v="36"/>
    <x v="1"/>
    <x v="2"/>
    <n v="635"/>
    <x v="0"/>
    <n v="10"/>
    <n v="4"/>
    <s v="Medical"/>
    <n v="1"/>
    <n v="592"/>
    <n v="2"/>
    <s v="Male"/>
    <n v="32"/>
    <n v="3"/>
    <n v="3"/>
    <x v="0"/>
    <n v="4"/>
    <x v="0"/>
    <n v="9980"/>
    <n v="15318"/>
    <n v="1"/>
    <s v="Y"/>
    <x v="1"/>
    <n v="14"/>
    <n v="3"/>
    <n v="4"/>
    <n v="80"/>
    <n v="0"/>
    <n v="10"/>
    <n v="3"/>
    <x v="2"/>
    <n v="10"/>
    <n v="3"/>
    <n v="9"/>
    <n v="7"/>
    <x v="0"/>
    <x v="2"/>
  </r>
  <r>
    <n v="22"/>
    <x v="0"/>
    <x v="1"/>
    <n v="1368"/>
    <x v="1"/>
    <n v="4"/>
    <n v="1"/>
    <s v="Technical Degree"/>
    <n v="1"/>
    <n v="593"/>
    <n v="3"/>
    <s v="Male"/>
    <n v="99"/>
    <n v="2"/>
    <n v="1"/>
    <x v="2"/>
    <n v="3"/>
    <x v="0"/>
    <n v="3894"/>
    <n v="9129"/>
    <n v="5"/>
    <s v="Y"/>
    <x v="1"/>
    <n v="16"/>
    <n v="3"/>
    <n v="3"/>
    <n v="80"/>
    <n v="0"/>
    <n v="4"/>
    <n v="3"/>
    <x v="1"/>
    <n v="2"/>
    <n v="2"/>
    <n v="1"/>
    <n v="2"/>
    <x v="1"/>
    <x v="1"/>
  </r>
  <r>
    <n v="48"/>
    <x v="1"/>
    <x v="0"/>
    <n v="163"/>
    <x v="0"/>
    <n v="2"/>
    <n v="5"/>
    <s v="Marketing"/>
    <n v="1"/>
    <n v="595"/>
    <n v="2"/>
    <s v="Female"/>
    <n v="37"/>
    <n v="3"/>
    <n v="2"/>
    <x v="0"/>
    <n v="4"/>
    <x v="1"/>
    <n v="4051"/>
    <n v="19658"/>
    <n v="2"/>
    <s v="Y"/>
    <x v="1"/>
    <n v="14"/>
    <n v="3"/>
    <n v="1"/>
    <n v="80"/>
    <n v="1"/>
    <n v="14"/>
    <n v="2"/>
    <x v="1"/>
    <n v="9"/>
    <n v="7"/>
    <n v="6"/>
    <n v="7"/>
    <x v="0"/>
    <x v="1"/>
  </r>
  <r>
    <n v="55"/>
    <x v="1"/>
    <x v="0"/>
    <n v="1117"/>
    <x v="0"/>
    <n v="18"/>
    <n v="5"/>
    <s v="Life Sciences"/>
    <n v="1"/>
    <n v="597"/>
    <n v="1"/>
    <s v="Female"/>
    <n v="83"/>
    <n v="3"/>
    <n v="4"/>
    <x v="5"/>
    <n v="2"/>
    <x v="0"/>
    <n v="16835"/>
    <n v="9873"/>
    <n v="3"/>
    <s v="Y"/>
    <x v="1"/>
    <n v="23"/>
    <n v="4"/>
    <n v="4"/>
    <n v="80"/>
    <n v="0"/>
    <n v="37"/>
    <n v="2"/>
    <x v="1"/>
    <n v="10"/>
    <n v="9"/>
    <n v="7"/>
    <n v="7"/>
    <x v="2"/>
    <x v="1"/>
  </r>
  <r>
    <n v="41"/>
    <x v="1"/>
    <x v="2"/>
    <n v="267"/>
    <x v="0"/>
    <n v="10"/>
    <n v="2"/>
    <s v="Life Sciences"/>
    <n v="1"/>
    <n v="599"/>
    <n v="4"/>
    <s v="Male"/>
    <n v="56"/>
    <n v="3"/>
    <n v="2"/>
    <x v="0"/>
    <n v="4"/>
    <x v="0"/>
    <n v="6230"/>
    <n v="13430"/>
    <n v="7"/>
    <s v="Y"/>
    <x v="1"/>
    <n v="14"/>
    <n v="3"/>
    <n v="4"/>
    <n v="80"/>
    <n v="0"/>
    <n v="16"/>
    <n v="3"/>
    <x v="1"/>
    <n v="14"/>
    <n v="3"/>
    <n v="1"/>
    <n v="10"/>
    <x v="0"/>
    <x v="1"/>
  </r>
  <r>
    <n v="35"/>
    <x v="1"/>
    <x v="0"/>
    <n v="619"/>
    <x v="0"/>
    <n v="1"/>
    <n v="3"/>
    <s v="Marketing"/>
    <n v="1"/>
    <n v="600"/>
    <n v="2"/>
    <s v="Male"/>
    <n v="85"/>
    <n v="3"/>
    <n v="2"/>
    <x v="0"/>
    <n v="3"/>
    <x v="1"/>
    <n v="4717"/>
    <n v="18659"/>
    <n v="9"/>
    <s v="Y"/>
    <x v="1"/>
    <n v="11"/>
    <n v="3"/>
    <n v="3"/>
    <n v="80"/>
    <n v="0"/>
    <n v="15"/>
    <n v="2"/>
    <x v="1"/>
    <n v="11"/>
    <n v="9"/>
    <n v="6"/>
    <n v="9"/>
    <x v="0"/>
    <x v="1"/>
  </r>
  <r>
    <n v="40"/>
    <x v="1"/>
    <x v="0"/>
    <n v="302"/>
    <x v="1"/>
    <n v="6"/>
    <n v="3"/>
    <s v="Life Sciences"/>
    <n v="1"/>
    <n v="601"/>
    <n v="2"/>
    <s v="Female"/>
    <n v="75"/>
    <n v="3"/>
    <n v="4"/>
    <x v="3"/>
    <n v="3"/>
    <x v="0"/>
    <n v="13237"/>
    <n v="20364"/>
    <n v="7"/>
    <s v="Y"/>
    <x v="1"/>
    <n v="15"/>
    <n v="3"/>
    <n v="3"/>
    <n v="80"/>
    <n v="0"/>
    <n v="22"/>
    <n v="3"/>
    <x v="1"/>
    <n v="20"/>
    <n v="6"/>
    <n v="5"/>
    <n v="13"/>
    <x v="0"/>
    <x v="1"/>
  </r>
  <r>
    <n v="39"/>
    <x v="1"/>
    <x v="1"/>
    <n v="443"/>
    <x v="1"/>
    <n v="8"/>
    <n v="1"/>
    <s v="Life Sciences"/>
    <n v="1"/>
    <n v="602"/>
    <n v="3"/>
    <s v="Female"/>
    <n v="48"/>
    <n v="3"/>
    <n v="1"/>
    <x v="2"/>
    <n v="3"/>
    <x v="1"/>
    <n v="3755"/>
    <n v="17872"/>
    <n v="1"/>
    <s v="Y"/>
    <x v="1"/>
    <n v="11"/>
    <n v="3"/>
    <n v="1"/>
    <n v="80"/>
    <n v="1"/>
    <n v="8"/>
    <n v="3"/>
    <x v="1"/>
    <n v="8"/>
    <n v="3"/>
    <n v="0"/>
    <n v="7"/>
    <x v="0"/>
    <x v="1"/>
  </r>
  <r>
    <n v="31"/>
    <x v="1"/>
    <x v="0"/>
    <n v="828"/>
    <x v="0"/>
    <n v="2"/>
    <n v="1"/>
    <s v="Life Sciences"/>
    <n v="1"/>
    <n v="604"/>
    <n v="2"/>
    <s v="Male"/>
    <n v="77"/>
    <n v="3"/>
    <n v="2"/>
    <x v="0"/>
    <n v="4"/>
    <x v="0"/>
    <n v="6582"/>
    <n v="8346"/>
    <n v="4"/>
    <s v="Y"/>
    <x v="0"/>
    <n v="13"/>
    <n v="3"/>
    <n v="3"/>
    <n v="80"/>
    <n v="0"/>
    <n v="10"/>
    <n v="2"/>
    <x v="3"/>
    <n v="6"/>
    <n v="5"/>
    <n v="0"/>
    <n v="5"/>
    <x v="0"/>
    <x v="3"/>
  </r>
  <r>
    <n v="42"/>
    <x v="1"/>
    <x v="0"/>
    <n v="319"/>
    <x v="1"/>
    <n v="24"/>
    <n v="3"/>
    <s v="Medical"/>
    <n v="1"/>
    <n v="605"/>
    <n v="4"/>
    <s v="Male"/>
    <n v="56"/>
    <n v="3"/>
    <n v="3"/>
    <x v="3"/>
    <n v="1"/>
    <x v="1"/>
    <n v="7406"/>
    <n v="6950"/>
    <n v="1"/>
    <s v="Y"/>
    <x v="0"/>
    <n v="21"/>
    <n v="4"/>
    <n v="4"/>
    <n v="80"/>
    <n v="1"/>
    <n v="10"/>
    <n v="5"/>
    <x v="2"/>
    <n v="10"/>
    <n v="9"/>
    <n v="5"/>
    <n v="8"/>
    <x v="0"/>
    <x v="2"/>
  </r>
  <r>
    <n v="45"/>
    <x v="1"/>
    <x v="0"/>
    <n v="561"/>
    <x v="0"/>
    <n v="2"/>
    <n v="3"/>
    <s v="Other"/>
    <n v="1"/>
    <n v="606"/>
    <n v="4"/>
    <s v="Male"/>
    <n v="61"/>
    <n v="3"/>
    <n v="2"/>
    <x v="0"/>
    <n v="2"/>
    <x v="1"/>
    <n v="4805"/>
    <n v="16177"/>
    <n v="0"/>
    <s v="Y"/>
    <x v="1"/>
    <n v="19"/>
    <n v="3"/>
    <n v="2"/>
    <n v="80"/>
    <n v="1"/>
    <n v="9"/>
    <n v="3"/>
    <x v="3"/>
    <n v="8"/>
    <n v="7"/>
    <n v="3"/>
    <n v="7"/>
    <x v="0"/>
    <x v="3"/>
  </r>
  <r>
    <n v="26"/>
    <x v="0"/>
    <x v="1"/>
    <n v="426"/>
    <x v="2"/>
    <n v="17"/>
    <n v="4"/>
    <s v="Life Sciences"/>
    <n v="1"/>
    <n v="608"/>
    <n v="2"/>
    <s v="Female"/>
    <n v="58"/>
    <n v="3"/>
    <n v="1"/>
    <x v="8"/>
    <n v="3"/>
    <x v="2"/>
    <n v="2741"/>
    <n v="22808"/>
    <n v="0"/>
    <s v="Y"/>
    <x v="0"/>
    <n v="11"/>
    <n v="3"/>
    <n v="2"/>
    <n v="80"/>
    <n v="1"/>
    <n v="8"/>
    <n v="2"/>
    <x v="2"/>
    <n v="7"/>
    <n v="7"/>
    <n v="1"/>
    <n v="0"/>
    <x v="1"/>
    <x v="2"/>
  </r>
  <r>
    <n v="29"/>
    <x v="1"/>
    <x v="0"/>
    <n v="232"/>
    <x v="1"/>
    <n v="19"/>
    <n v="3"/>
    <s v="Technical Degree"/>
    <n v="1"/>
    <n v="611"/>
    <n v="4"/>
    <s v="Male"/>
    <n v="34"/>
    <n v="3"/>
    <n v="2"/>
    <x v="3"/>
    <n v="4"/>
    <x v="2"/>
    <n v="4262"/>
    <n v="22645"/>
    <n v="4"/>
    <s v="Y"/>
    <x v="1"/>
    <n v="12"/>
    <n v="3"/>
    <n v="2"/>
    <n v="80"/>
    <n v="2"/>
    <n v="8"/>
    <n v="2"/>
    <x v="3"/>
    <n v="3"/>
    <n v="2"/>
    <n v="1"/>
    <n v="2"/>
    <x v="1"/>
    <x v="3"/>
  </r>
  <r>
    <n v="33"/>
    <x v="1"/>
    <x v="0"/>
    <n v="922"/>
    <x v="1"/>
    <n v="1"/>
    <n v="5"/>
    <s v="Medical"/>
    <n v="1"/>
    <n v="612"/>
    <n v="1"/>
    <s v="Female"/>
    <n v="95"/>
    <n v="4"/>
    <n v="4"/>
    <x v="7"/>
    <n v="3"/>
    <x v="2"/>
    <n v="16184"/>
    <n v="22578"/>
    <n v="4"/>
    <s v="Y"/>
    <x v="1"/>
    <n v="19"/>
    <n v="3"/>
    <n v="3"/>
    <n v="80"/>
    <n v="1"/>
    <n v="10"/>
    <n v="2"/>
    <x v="1"/>
    <n v="6"/>
    <n v="1"/>
    <n v="0"/>
    <n v="5"/>
    <x v="0"/>
    <x v="1"/>
  </r>
  <r>
    <n v="31"/>
    <x v="1"/>
    <x v="0"/>
    <n v="688"/>
    <x v="0"/>
    <n v="7"/>
    <n v="3"/>
    <s v="Life Sciences"/>
    <n v="1"/>
    <n v="613"/>
    <n v="3"/>
    <s v="Male"/>
    <n v="44"/>
    <n v="2"/>
    <n v="3"/>
    <x v="5"/>
    <n v="4"/>
    <x v="2"/>
    <n v="11557"/>
    <n v="25291"/>
    <n v="9"/>
    <s v="Y"/>
    <x v="1"/>
    <n v="21"/>
    <n v="4"/>
    <n v="3"/>
    <n v="80"/>
    <n v="1"/>
    <n v="10"/>
    <n v="3"/>
    <x v="2"/>
    <n v="5"/>
    <n v="4"/>
    <n v="0"/>
    <n v="1"/>
    <x v="0"/>
    <x v="2"/>
  </r>
  <r>
    <n v="18"/>
    <x v="0"/>
    <x v="1"/>
    <n v="1306"/>
    <x v="0"/>
    <n v="5"/>
    <n v="3"/>
    <s v="Marketing"/>
    <n v="1"/>
    <n v="614"/>
    <n v="2"/>
    <s v="Male"/>
    <n v="69"/>
    <n v="3"/>
    <n v="1"/>
    <x v="6"/>
    <n v="2"/>
    <x v="0"/>
    <n v="1878"/>
    <n v="8059"/>
    <n v="1"/>
    <s v="Y"/>
    <x v="0"/>
    <n v="14"/>
    <n v="3"/>
    <n v="4"/>
    <n v="80"/>
    <n v="0"/>
    <n v="0"/>
    <n v="3"/>
    <x v="1"/>
    <n v="0"/>
    <n v="0"/>
    <n v="0"/>
    <n v="0"/>
    <x v="1"/>
    <x v="1"/>
  </r>
  <r>
    <n v="40"/>
    <x v="1"/>
    <x v="2"/>
    <n v="1094"/>
    <x v="0"/>
    <n v="28"/>
    <n v="3"/>
    <s v="Other"/>
    <n v="1"/>
    <n v="615"/>
    <n v="3"/>
    <s v="Male"/>
    <n v="58"/>
    <n v="1"/>
    <n v="3"/>
    <x v="0"/>
    <n v="1"/>
    <x v="2"/>
    <n v="10932"/>
    <n v="11373"/>
    <n v="3"/>
    <s v="Y"/>
    <x v="1"/>
    <n v="15"/>
    <n v="3"/>
    <n v="3"/>
    <n v="80"/>
    <n v="1"/>
    <n v="20"/>
    <n v="2"/>
    <x v="1"/>
    <n v="1"/>
    <n v="0"/>
    <n v="0"/>
    <n v="1"/>
    <x v="0"/>
    <x v="1"/>
  </r>
  <r>
    <n v="41"/>
    <x v="1"/>
    <x v="2"/>
    <n v="509"/>
    <x v="1"/>
    <n v="2"/>
    <n v="4"/>
    <s v="Other"/>
    <n v="1"/>
    <n v="616"/>
    <n v="1"/>
    <s v="Female"/>
    <n v="62"/>
    <n v="2"/>
    <n v="2"/>
    <x v="4"/>
    <n v="3"/>
    <x v="0"/>
    <n v="6811"/>
    <n v="2112"/>
    <n v="2"/>
    <s v="Y"/>
    <x v="0"/>
    <n v="17"/>
    <n v="3"/>
    <n v="1"/>
    <n v="80"/>
    <n v="0"/>
    <n v="10"/>
    <n v="3"/>
    <x v="1"/>
    <n v="8"/>
    <n v="7"/>
    <n v="0"/>
    <n v="7"/>
    <x v="0"/>
    <x v="1"/>
  </r>
  <r>
    <n v="26"/>
    <x v="1"/>
    <x v="0"/>
    <n v="775"/>
    <x v="0"/>
    <n v="29"/>
    <n v="2"/>
    <s v="Medical"/>
    <n v="1"/>
    <n v="618"/>
    <n v="1"/>
    <s v="Male"/>
    <n v="45"/>
    <n v="3"/>
    <n v="2"/>
    <x v="0"/>
    <n v="3"/>
    <x v="2"/>
    <n v="4306"/>
    <n v="4267"/>
    <n v="5"/>
    <s v="Y"/>
    <x v="1"/>
    <n v="12"/>
    <n v="3"/>
    <n v="1"/>
    <n v="80"/>
    <n v="2"/>
    <n v="8"/>
    <n v="5"/>
    <x v="1"/>
    <n v="0"/>
    <n v="0"/>
    <n v="0"/>
    <n v="0"/>
    <x v="1"/>
    <x v="1"/>
  </r>
  <r>
    <n v="35"/>
    <x v="1"/>
    <x v="0"/>
    <n v="195"/>
    <x v="0"/>
    <n v="1"/>
    <n v="3"/>
    <s v="Medical"/>
    <n v="1"/>
    <n v="620"/>
    <n v="1"/>
    <s v="Female"/>
    <n v="80"/>
    <n v="3"/>
    <n v="2"/>
    <x v="0"/>
    <n v="3"/>
    <x v="0"/>
    <n v="4859"/>
    <n v="6698"/>
    <n v="1"/>
    <s v="Y"/>
    <x v="1"/>
    <n v="16"/>
    <n v="3"/>
    <n v="4"/>
    <n v="80"/>
    <n v="0"/>
    <n v="5"/>
    <n v="3"/>
    <x v="1"/>
    <n v="5"/>
    <n v="4"/>
    <n v="0"/>
    <n v="3"/>
    <x v="0"/>
    <x v="1"/>
  </r>
  <r>
    <n v="34"/>
    <x v="1"/>
    <x v="0"/>
    <n v="258"/>
    <x v="0"/>
    <n v="21"/>
    <n v="4"/>
    <s v="Life Sciences"/>
    <n v="1"/>
    <n v="621"/>
    <n v="4"/>
    <s v="Male"/>
    <n v="74"/>
    <n v="4"/>
    <n v="2"/>
    <x v="0"/>
    <n v="4"/>
    <x v="0"/>
    <n v="5337"/>
    <n v="19921"/>
    <n v="1"/>
    <s v="Y"/>
    <x v="1"/>
    <n v="12"/>
    <n v="3"/>
    <n v="4"/>
    <n v="80"/>
    <n v="0"/>
    <n v="10"/>
    <n v="3"/>
    <x v="1"/>
    <n v="10"/>
    <n v="7"/>
    <n v="5"/>
    <n v="7"/>
    <x v="0"/>
    <x v="1"/>
  </r>
  <r>
    <n v="26"/>
    <x v="0"/>
    <x v="0"/>
    <n v="471"/>
    <x v="1"/>
    <n v="24"/>
    <n v="3"/>
    <s v="Technical Degree"/>
    <n v="1"/>
    <n v="622"/>
    <n v="3"/>
    <s v="Male"/>
    <n v="66"/>
    <n v="1"/>
    <n v="1"/>
    <x v="2"/>
    <n v="4"/>
    <x v="0"/>
    <n v="2340"/>
    <n v="23213"/>
    <n v="1"/>
    <s v="Y"/>
    <x v="0"/>
    <n v="18"/>
    <n v="3"/>
    <n v="2"/>
    <n v="80"/>
    <n v="0"/>
    <n v="1"/>
    <n v="3"/>
    <x v="0"/>
    <n v="1"/>
    <n v="0"/>
    <n v="0"/>
    <n v="0"/>
    <x v="1"/>
    <x v="0"/>
  </r>
  <r>
    <n v="37"/>
    <x v="1"/>
    <x v="0"/>
    <n v="799"/>
    <x v="1"/>
    <n v="1"/>
    <n v="3"/>
    <s v="Technical Degree"/>
    <n v="1"/>
    <n v="623"/>
    <n v="2"/>
    <s v="Female"/>
    <n v="59"/>
    <n v="3"/>
    <n v="3"/>
    <x v="3"/>
    <n v="4"/>
    <x v="0"/>
    <n v="7491"/>
    <n v="23848"/>
    <n v="4"/>
    <s v="Y"/>
    <x v="1"/>
    <n v="17"/>
    <n v="3"/>
    <n v="4"/>
    <n v="80"/>
    <n v="0"/>
    <n v="12"/>
    <n v="3"/>
    <x v="3"/>
    <n v="6"/>
    <n v="5"/>
    <n v="1"/>
    <n v="2"/>
    <x v="0"/>
    <x v="3"/>
  </r>
  <r>
    <n v="46"/>
    <x v="1"/>
    <x v="1"/>
    <n v="1034"/>
    <x v="1"/>
    <n v="18"/>
    <n v="1"/>
    <s v="Medical"/>
    <n v="1"/>
    <n v="624"/>
    <n v="1"/>
    <s v="Female"/>
    <n v="86"/>
    <n v="3"/>
    <n v="3"/>
    <x v="4"/>
    <n v="3"/>
    <x v="1"/>
    <n v="10527"/>
    <n v="8984"/>
    <n v="5"/>
    <s v="Y"/>
    <x v="1"/>
    <n v="11"/>
    <n v="3"/>
    <n v="4"/>
    <n v="80"/>
    <n v="0"/>
    <n v="28"/>
    <n v="3"/>
    <x v="2"/>
    <n v="2"/>
    <n v="2"/>
    <n v="1"/>
    <n v="2"/>
    <x v="0"/>
    <x v="2"/>
  </r>
  <r>
    <n v="41"/>
    <x v="1"/>
    <x v="0"/>
    <n v="1276"/>
    <x v="0"/>
    <n v="2"/>
    <n v="5"/>
    <s v="Life Sciences"/>
    <n v="1"/>
    <n v="625"/>
    <n v="2"/>
    <s v="Female"/>
    <n v="91"/>
    <n v="3"/>
    <n v="4"/>
    <x v="5"/>
    <n v="1"/>
    <x v="1"/>
    <n v="16595"/>
    <n v="5626"/>
    <n v="7"/>
    <s v="Y"/>
    <x v="1"/>
    <n v="16"/>
    <n v="3"/>
    <n v="2"/>
    <n v="80"/>
    <n v="1"/>
    <n v="22"/>
    <n v="2"/>
    <x v="1"/>
    <n v="18"/>
    <n v="16"/>
    <n v="11"/>
    <n v="8"/>
    <x v="0"/>
    <x v="1"/>
  </r>
  <r>
    <n v="37"/>
    <x v="1"/>
    <x v="2"/>
    <n v="142"/>
    <x v="0"/>
    <n v="9"/>
    <n v="4"/>
    <s v="Medical"/>
    <n v="1"/>
    <n v="626"/>
    <n v="1"/>
    <s v="Male"/>
    <n v="69"/>
    <n v="3"/>
    <n v="3"/>
    <x v="0"/>
    <n v="2"/>
    <x v="2"/>
    <n v="8834"/>
    <n v="24666"/>
    <n v="1"/>
    <s v="Y"/>
    <x v="1"/>
    <n v="13"/>
    <n v="3"/>
    <n v="4"/>
    <n v="80"/>
    <n v="1"/>
    <n v="9"/>
    <n v="6"/>
    <x v="1"/>
    <n v="9"/>
    <n v="5"/>
    <n v="7"/>
    <n v="7"/>
    <x v="0"/>
    <x v="1"/>
  </r>
  <r>
    <n v="52"/>
    <x v="1"/>
    <x v="0"/>
    <n v="956"/>
    <x v="1"/>
    <n v="6"/>
    <n v="2"/>
    <s v="Technical Degree"/>
    <n v="1"/>
    <n v="630"/>
    <n v="4"/>
    <s v="Male"/>
    <n v="78"/>
    <n v="3"/>
    <n v="2"/>
    <x v="1"/>
    <n v="1"/>
    <x v="2"/>
    <n v="5577"/>
    <n v="22087"/>
    <n v="3"/>
    <s v="Y"/>
    <x v="0"/>
    <n v="12"/>
    <n v="3"/>
    <n v="2"/>
    <n v="80"/>
    <n v="2"/>
    <n v="18"/>
    <n v="3"/>
    <x v="1"/>
    <n v="10"/>
    <n v="9"/>
    <n v="6"/>
    <n v="9"/>
    <x v="2"/>
    <x v="1"/>
  </r>
  <r>
    <n v="32"/>
    <x v="0"/>
    <x v="2"/>
    <n v="1474"/>
    <x v="0"/>
    <n v="11"/>
    <n v="4"/>
    <s v="Other"/>
    <n v="1"/>
    <n v="631"/>
    <n v="4"/>
    <s v="Male"/>
    <n v="60"/>
    <n v="4"/>
    <n v="2"/>
    <x v="0"/>
    <n v="3"/>
    <x v="1"/>
    <n v="4707"/>
    <n v="23914"/>
    <n v="8"/>
    <s v="Y"/>
    <x v="1"/>
    <n v="12"/>
    <n v="3"/>
    <n v="4"/>
    <n v="80"/>
    <n v="0"/>
    <n v="6"/>
    <n v="2"/>
    <x v="1"/>
    <n v="4"/>
    <n v="2"/>
    <n v="1"/>
    <n v="2"/>
    <x v="0"/>
    <x v="1"/>
  </r>
  <r>
    <n v="24"/>
    <x v="1"/>
    <x v="1"/>
    <n v="535"/>
    <x v="0"/>
    <n v="24"/>
    <n v="3"/>
    <s v="Medical"/>
    <n v="1"/>
    <n v="632"/>
    <n v="4"/>
    <s v="Male"/>
    <n v="38"/>
    <n v="3"/>
    <n v="1"/>
    <x v="6"/>
    <n v="4"/>
    <x v="1"/>
    <n v="2400"/>
    <n v="5530"/>
    <n v="0"/>
    <s v="Y"/>
    <x v="1"/>
    <n v="13"/>
    <n v="3"/>
    <n v="3"/>
    <n v="80"/>
    <n v="2"/>
    <n v="3"/>
    <n v="3"/>
    <x v="1"/>
    <n v="2"/>
    <n v="2"/>
    <n v="2"/>
    <n v="1"/>
    <x v="1"/>
    <x v="1"/>
  </r>
  <r>
    <n v="38"/>
    <x v="1"/>
    <x v="0"/>
    <n v="1495"/>
    <x v="1"/>
    <n v="10"/>
    <n v="3"/>
    <s v="Medical"/>
    <n v="1"/>
    <n v="634"/>
    <n v="3"/>
    <s v="Female"/>
    <n v="76"/>
    <n v="3"/>
    <n v="2"/>
    <x v="4"/>
    <n v="3"/>
    <x v="1"/>
    <n v="9824"/>
    <n v="22174"/>
    <n v="3"/>
    <s v="Y"/>
    <x v="1"/>
    <n v="19"/>
    <n v="3"/>
    <n v="3"/>
    <n v="80"/>
    <n v="1"/>
    <n v="18"/>
    <n v="4"/>
    <x v="1"/>
    <n v="1"/>
    <n v="0"/>
    <n v="0"/>
    <n v="0"/>
    <x v="0"/>
    <x v="1"/>
  </r>
  <r>
    <n v="37"/>
    <x v="1"/>
    <x v="0"/>
    <n v="446"/>
    <x v="1"/>
    <n v="1"/>
    <n v="4"/>
    <s v="Life Sciences"/>
    <n v="1"/>
    <n v="635"/>
    <n v="2"/>
    <s v="Female"/>
    <n v="65"/>
    <n v="3"/>
    <n v="2"/>
    <x v="3"/>
    <n v="2"/>
    <x v="1"/>
    <n v="6447"/>
    <n v="15701"/>
    <n v="6"/>
    <s v="Y"/>
    <x v="1"/>
    <n v="12"/>
    <n v="3"/>
    <n v="2"/>
    <n v="80"/>
    <n v="1"/>
    <n v="8"/>
    <n v="2"/>
    <x v="2"/>
    <n v="6"/>
    <n v="5"/>
    <n v="4"/>
    <n v="3"/>
    <x v="0"/>
    <x v="2"/>
  </r>
  <r>
    <n v="49"/>
    <x v="1"/>
    <x v="0"/>
    <n v="1245"/>
    <x v="1"/>
    <n v="18"/>
    <n v="4"/>
    <s v="Life Sciences"/>
    <n v="1"/>
    <n v="638"/>
    <n v="4"/>
    <s v="Male"/>
    <n v="58"/>
    <n v="2"/>
    <n v="5"/>
    <x v="7"/>
    <n v="3"/>
    <x v="2"/>
    <n v="19502"/>
    <n v="2125"/>
    <n v="1"/>
    <s v="Y"/>
    <x v="0"/>
    <n v="17"/>
    <n v="3"/>
    <n v="3"/>
    <n v="80"/>
    <n v="1"/>
    <n v="31"/>
    <n v="5"/>
    <x v="1"/>
    <n v="31"/>
    <n v="9"/>
    <n v="0"/>
    <n v="9"/>
    <x v="0"/>
    <x v="1"/>
  </r>
  <r>
    <n v="24"/>
    <x v="1"/>
    <x v="0"/>
    <n v="691"/>
    <x v="1"/>
    <n v="23"/>
    <n v="3"/>
    <s v="Medical"/>
    <n v="1"/>
    <n v="639"/>
    <n v="2"/>
    <s v="Male"/>
    <n v="89"/>
    <n v="4"/>
    <n v="1"/>
    <x v="1"/>
    <n v="4"/>
    <x v="1"/>
    <n v="2725"/>
    <n v="21630"/>
    <n v="1"/>
    <s v="Y"/>
    <x v="0"/>
    <n v="11"/>
    <n v="3"/>
    <n v="2"/>
    <n v="80"/>
    <n v="2"/>
    <n v="6"/>
    <n v="3"/>
    <x v="1"/>
    <n v="6"/>
    <n v="5"/>
    <n v="1"/>
    <n v="4"/>
    <x v="1"/>
    <x v="1"/>
  </r>
  <r>
    <n v="26"/>
    <x v="1"/>
    <x v="0"/>
    <n v="703"/>
    <x v="0"/>
    <n v="28"/>
    <n v="2"/>
    <s v="Marketing"/>
    <n v="1"/>
    <n v="641"/>
    <n v="1"/>
    <s v="Male"/>
    <n v="66"/>
    <n v="3"/>
    <n v="2"/>
    <x v="0"/>
    <n v="2"/>
    <x v="1"/>
    <n v="6272"/>
    <n v="7428"/>
    <n v="1"/>
    <s v="Y"/>
    <x v="1"/>
    <n v="20"/>
    <n v="4"/>
    <n v="4"/>
    <n v="80"/>
    <n v="2"/>
    <n v="6"/>
    <n v="5"/>
    <x v="3"/>
    <n v="5"/>
    <n v="3"/>
    <n v="1"/>
    <n v="4"/>
    <x v="1"/>
    <x v="3"/>
  </r>
  <r>
    <n v="24"/>
    <x v="1"/>
    <x v="0"/>
    <n v="823"/>
    <x v="1"/>
    <n v="17"/>
    <n v="2"/>
    <s v="Other"/>
    <n v="1"/>
    <n v="643"/>
    <n v="4"/>
    <s v="Male"/>
    <n v="94"/>
    <n v="2"/>
    <n v="1"/>
    <x v="2"/>
    <n v="2"/>
    <x v="1"/>
    <n v="2127"/>
    <n v="9100"/>
    <n v="1"/>
    <s v="Y"/>
    <x v="1"/>
    <n v="21"/>
    <n v="4"/>
    <n v="4"/>
    <n v="80"/>
    <n v="1"/>
    <n v="1"/>
    <n v="2"/>
    <x v="1"/>
    <n v="1"/>
    <n v="0"/>
    <n v="0"/>
    <n v="0"/>
    <x v="1"/>
    <x v="1"/>
  </r>
  <r>
    <n v="50"/>
    <x v="1"/>
    <x v="1"/>
    <n v="1246"/>
    <x v="2"/>
    <n v="3"/>
    <n v="3"/>
    <s v="Medical"/>
    <n v="1"/>
    <n v="644"/>
    <n v="1"/>
    <s v="Male"/>
    <n v="99"/>
    <n v="3"/>
    <n v="5"/>
    <x v="5"/>
    <n v="2"/>
    <x v="1"/>
    <n v="18200"/>
    <n v="7999"/>
    <n v="1"/>
    <s v="Y"/>
    <x v="1"/>
    <n v="11"/>
    <n v="3"/>
    <n v="3"/>
    <n v="80"/>
    <n v="1"/>
    <n v="32"/>
    <n v="2"/>
    <x v="1"/>
    <n v="32"/>
    <n v="5"/>
    <n v="10"/>
    <n v="7"/>
    <x v="0"/>
    <x v="1"/>
  </r>
  <r>
    <n v="25"/>
    <x v="1"/>
    <x v="0"/>
    <n v="622"/>
    <x v="0"/>
    <n v="13"/>
    <n v="1"/>
    <s v="Medical"/>
    <n v="1"/>
    <n v="645"/>
    <n v="2"/>
    <s v="Male"/>
    <n v="40"/>
    <n v="3"/>
    <n v="1"/>
    <x v="6"/>
    <n v="3"/>
    <x v="1"/>
    <n v="2096"/>
    <n v="26376"/>
    <n v="1"/>
    <s v="Y"/>
    <x v="1"/>
    <n v="11"/>
    <n v="3"/>
    <n v="3"/>
    <n v="80"/>
    <n v="0"/>
    <n v="7"/>
    <n v="1"/>
    <x v="1"/>
    <n v="7"/>
    <n v="4"/>
    <n v="0"/>
    <n v="6"/>
    <x v="1"/>
    <x v="1"/>
  </r>
  <r>
    <n v="24"/>
    <x v="0"/>
    <x v="1"/>
    <n v="1287"/>
    <x v="1"/>
    <n v="7"/>
    <n v="3"/>
    <s v="Life Sciences"/>
    <n v="1"/>
    <n v="647"/>
    <n v="1"/>
    <s v="Female"/>
    <n v="55"/>
    <n v="3"/>
    <n v="1"/>
    <x v="2"/>
    <n v="3"/>
    <x v="1"/>
    <n v="2886"/>
    <n v="14168"/>
    <n v="1"/>
    <s v="Y"/>
    <x v="0"/>
    <n v="16"/>
    <n v="3"/>
    <n v="4"/>
    <n v="80"/>
    <n v="1"/>
    <n v="6"/>
    <n v="4"/>
    <x v="1"/>
    <n v="6"/>
    <n v="3"/>
    <n v="1"/>
    <n v="2"/>
    <x v="1"/>
    <x v="1"/>
  </r>
  <r>
    <n v="30"/>
    <x v="0"/>
    <x v="1"/>
    <n v="448"/>
    <x v="0"/>
    <n v="12"/>
    <n v="4"/>
    <s v="Life Sciences"/>
    <n v="1"/>
    <n v="648"/>
    <n v="2"/>
    <s v="Male"/>
    <n v="74"/>
    <n v="2"/>
    <n v="1"/>
    <x v="6"/>
    <n v="1"/>
    <x v="1"/>
    <n v="2033"/>
    <n v="14470"/>
    <n v="1"/>
    <s v="Y"/>
    <x v="1"/>
    <n v="18"/>
    <n v="3"/>
    <n v="3"/>
    <n v="80"/>
    <n v="1"/>
    <n v="1"/>
    <n v="2"/>
    <x v="3"/>
    <n v="1"/>
    <n v="0"/>
    <n v="0"/>
    <n v="0"/>
    <x v="1"/>
    <x v="3"/>
  </r>
  <r>
    <n v="34"/>
    <x v="1"/>
    <x v="0"/>
    <n v="254"/>
    <x v="1"/>
    <n v="1"/>
    <n v="2"/>
    <s v="Life Sciences"/>
    <n v="1"/>
    <n v="649"/>
    <n v="2"/>
    <s v="Male"/>
    <n v="83"/>
    <n v="2"/>
    <n v="1"/>
    <x v="1"/>
    <n v="4"/>
    <x v="1"/>
    <n v="3622"/>
    <n v="22794"/>
    <n v="1"/>
    <s v="Y"/>
    <x v="0"/>
    <n v="13"/>
    <n v="3"/>
    <n v="4"/>
    <n v="80"/>
    <n v="1"/>
    <n v="6"/>
    <n v="3"/>
    <x v="1"/>
    <n v="6"/>
    <n v="5"/>
    <n v="1"/>
    <n v="3"/>
    <x v="0"/>
    <x v="1"/>
  </r>
  <r>
    <n v="31"/>
    <x v="0"/>
    <x v="0"/>
    <n v="1365"/>
    <x v="0"/>
    <n v="13"/>
    <n v="4"/>
    <s v="Medical"/>
    <n v="1"/>
    <n v="650"/>
    <n v="2"/>
    <s v="Male"/>
    <n v="46"/>
    <n v="3"/>
    <n v="2"/>
    <x v="0"/>
    <n v="1"/>
    <x v="2"/>
    <n v="4233"/>
    <n v="11512"/>
    <n v="2"/>
    <s v="Y"/>
    <x v="1"/>
    <n v="17"/>
    <n v="3"/>
    <n v="3"/>
    <n v="80"/>
    <n v="0"/>
    <n v="9"/>
    <n v="2"/>
    <x v="0"/>
    <n v="3"/>
    <n v="1"/>
    <n v="1"/>
    <n v="2"/>
    <x v="0"/>
    <x v="0"/>
  </r>
  <r>
    <n v="35"/>
    <x v="1"/>
    <x v="0"/>
    <n v="538"/>
    <x v="1"/>
    <n v="25"/>
    <n v="2"/>
    <s v="Other"/>
    <n v="1"/>
    <n v="652"/>
    <n v="1"/>
    <s v="Male"/>
    <n v="54"/>
    <n v="2"/>
    <n v="2"/>
    <x v="2"/>
    <n v="4"/>
    <x v="0"/>
    <n v="3681"/>
    <n v="14004"/>
    <n v="4"/>
    <s v="Y"/>
    <x v="1"/>
    <n v="14"/>
    <n v="3"/>
    <n v="4"/>
    <n v="80"/>
    <n v="0"/>
    <n v="9"/>
    <n v="3"/>
    <x v="1"/>
    <n v="3"/>
    <n v="2"/>
    <n v="0"/>
    <n v="2"/>
    <x v="0"/>
    <x v="1"/>
  </r>
  <r>
    <n v="31"/>
    <x v="1"/>
    <x v="0"/>
    <n v="525"/>
    <x v="0"/>
    <n v="6"/>
    <n v="4"/>
    <s v="Medical"/>
    <n v="1"/>
    <n v="653"/>
    <n v="1"/>
    <s v="Male"/>
    <n v="66"/>
    <n v="4"/>
    <n v="2"/>
    <x v="0"/>
    <n v="4"/>
    <x v="2"/>
    <n v="5460"/>
    <n v="6219"/>
    <n v="4"/>
    <s v="Y"/>
    <x v="1"/>
    <n v="22"/>
    <n v="4"/>
    <n v="4"/>
    <n v="80"/>
    <n v="2"/>
    <n v="13"/>
    <n v="4"/>
    <x v="3"/>
    <n v="7"/>
    <n v="7"/>
    <n v="5"/>
    <n v="7"/>
    <x v="0"/>
    <x v="3"/>
  </r>
  <r>
    <n v="27"/>
    <x v="1"/>
    <x v="0"/>
    <n v="798"/>
    <x v="1"/>
    <n v="6"/>
    <n v="4"/>
    <s v="Medical"/>
    <n v="1"/>
    <n v="655"/>
    <n v="1"/>
    <s v="Female"/>
    <n v="66"/>
    <n v="2"/>
    <n v="1"/>
    <x v="1"/>
    <n v="3"/>
    <x v="2"/>
    <n v="2187"/>
    <n v="5013"/>
    <n v="0"/>
    <s v="Y"/>
    <x v="1"/>
    <n v="12"/>
    <n v="3"/>
    <n v="3"/>
    <n v="80"/>
    <n v="2"/>
    <n v="6"/>
    <n v="5"/>
    <x v="2"/>
    <n v="5"/>
    <n v="3"/>
    <n v="0"/>
    <n v="3"/>
    <x v="1"/>
    <x v="2"/>
  </r>
  <r>
    <n v="37"/>
    <x v="1"/>
    <x v="0"/>
    <n v="558"/>
    <x v="0"/>
    <n v="2"/>
    <n v="3"/>
    <s v="Marketing"/>
    <n v="1"/>
    <n v="656"/>
    <n v="4"/>
    <s v="Male"/>
    <n v="75"/>
    <n v="3"/>
    <n v="2"/>
    <x v="0"/>
    <n v="3"/>
    <x v="1"/>
    <n v="9602"/>
    <n v="3010"/>
    <n v="4"/>
    <s v="Y"/>
    <x v="0"/>
    <n v="11"/>
    <n v="3"/>
    <n v="3"/>
    <n v="80"/>
    <n v="1"/>
    <n v="17"/>
    <n v="3"/>
    <x v="2"/>
    <n v="3"/>
    <n v="0"/>
    <n v="1"/>
    <n v="0"/>
    <x v="0"/>
    <x v="2"/>
  </r>
  <r>
    <n v="20"/>
    <x v="1"/>
    <x v="0"/>
    <n v="959"/>
    <x v="1"/>
    <n v="1"/>
    <n v="3"/>
    <s v="Life Sciences"/>
    <n v="1"/>
    <n v="657"/>
    <n v="4"/>
    <s v="Female"/>
    <n v="83"/>
    <n v="2"/>
    <n v="1"/>
    <x v="1"/>
    <n v="2"/>
    <x v="0"/>
    <n v="2836"/>
    <n v="11757"/>
    <n v="1"/>
    <s v="Y"/>
    <x v="1"/>
    <n v="13"/>
    <n v="3"/>
    <n v="4"/>
    <n v="80"/>
    <n v="0"/>
    <n v="1"/>
    <n v="0"/>
    <x v="3"/>
    <n v="1"/>
    <n v="0"/>
    <n v="0"/>
    <n v="0"/>
    <x v="1"/>
    <x v="3"/>
  </r>
  <r>
    <n v="42"/>
    <x v="1"/>
    <x v="0"/>
    <n v="622"/>
    <x v="1"/>
    <n v="2"/>
    <n v="4"/>
    <s v="Life Sciences"/>
    <n v="1"/>
    <n v="659"/>
    <n v="3"/>
    <s v="Female"/>
    <n v="81"/>
    <n v="3"/>
    <n v="2"/>
    <x v="4"/>
    <n v="4"/>
    <x v="1"/>
    <n v="4089"/>
    <n v="5718"/>
    <n v="1"/>
    <s v="Y"/>
    <x v="1"/>
    <n v="13"/>
    <n v="3"/>
    <n v="2"/>
    <n v="80"/>
    <n v="2"/>
    <n v="10"/>
    <n v="4"/>
    <x v="1"/>
    <n v="10"/>
    <n v="2"/>
    <n v="2"/>
    <n v="2"/>
    <x v="0"/>
    <x v="1"/>
  </r>
  <r>
    <n v="43"/>
    <x v="1"/>
    <x v="0"/>
    <n v="782"/>
    <x v="1"/>
    <n v="6"/>
    <n v="4"/>
    <s v="Other"/>
    <n v="1"/>
    <n v="661"/>
    <n v="2"/>
    <s v="Male"/>
    <n v="50"/>
    <n v="2"/>
    <n v="4"/>
    <x v="7"/>
    <n v="4"/>
    <x v="2"/>
    <n v="16627"/>
    <n v="2671"/>
    <n v="4"/>
    <s v="Y"/>
    <x v="0"/>
    <n v="14"/>
    <n v="3"/>
    <n v="3"/>
    <n v="80"/>
    <n v="1"/>
    <n v="21"/>
    <n v="3"/>
    <x v="2"/>
    <n v="1"/>
    <n v="0"/>
    <n v="0"/>
    <n v="0"/>
    <x v="0"/>
    <x v="2"/>
  </r>
  <r>
    <n v="38"/>
    <x v="1"/>
    <x v="0"/>
    <n v="362"/>
    <x v="1"/>
    <n v="1"/>
    <n v="1"/>
    <s v="Life Sciences"/>
    <n v="1"/>
    <n v="662"/>
    <n v="3"/>
    <s v="Female"/>
    <n v="43"/>
    <n v="3"/>
    <n v="1"/>
    <x v="1"/>
    <n v="1"/>
    <x v="0"/>
    <n v="2619"/>
    <n v="14561"/>
    <n v="3"/>
    <s v="Y"/>
    <x v="1"/>
    <n v="17"/>
    <n v="3"/>
    <n v="4"/>
    <n v="80"/>
    <n v="0"/>
    <n v="8"/>
    <n v="3"/>
    <x v="2"/>
    <n v="0"/>
    <n v="0"/>
    <n v="0"/>
    <n v="0"/>
    <x v="0"/>
    <x v="2"/>
  </r>
  <r>
    <n v="43"/>
    <x v="1"/>
    <x v="1"/>
    <n v="1001"/>
    <x v="1"/>
    <n v="9"/>
    <n v="5"/>
    <s v="Medical"/>
    <n v="1"/>
    <n v="663"/>
    <n v="4"/>
    <s v="Male"/>
    <n v="72"/>
    <n v="3"/>
    <n v="2"/>
    <x v="2"/>
    <n v="3"/>
    <x v="2"/>
    <n v="5679"/>
    <n v="19627"/>
    <n v="3"/>
    <s v="Y"/>
    <x v="0"/>
    <n v="13"/>
    <n v="3"/>
    <n v="2"/>
    <n v="80"/>
    <n v="1"/>
    <n v="10"/>
    <n v="3"/>
    <x v="1"/>
    <n v="8"/>
    <n v="7"/>
    <n v="4"/>
    <n v="7"/>
    <x v="0"/>
    <x v="1"/>
  </r>
  <r>
    <n v="48"/>
    <x v="1"/>
    <x v="0"/>
    <n v="1236"/>
    <x v="1"/>
    <n v="1"/>
    <n v="4"/>
    <s v="Life Sciences"/>
    <n v="1"/>
    <n v="664"/>
    <n v="4"/>
    <s v="Female"/>
    <n v="40"/>
    <n v="2"/>
    <n v="4"/>
    <x v="5"/>
    <n v="1"/>
    <x v="1"/>
    <n v="15402"/>
    <n v="17997"/>
    <n v="7"/>
    <s v="Y"/>
    <x v="1"/>
    <n v="11"/>
    <n v="3"/>
    <n v="1"/>
    <n v="80"/>
    <n v="1"/>
    <n v="21"/>
    <n v="3"/>
    <x v="0"/>
    <n v="3"/>
    <n v="2"/>
    <n v="0"/>
    <n v="2"/>
    <x v="0"/>
    <x v="0"/>
  </r>
  <r>
    <n v="44"/>
    <x v="1"/>
    <x v="0"/>
    <n v="1112"/>
    <x v="2"/>
    <n v="1"/>
    <n v="4"/>
    <s v="Life Sciences"/>
    <n v="1"/>
    <n v="665"/>
    <n v="1"/>
    <s v="Female"/>
    <n v="50"/>
    <n v="2"/>
    <n v="2"/>
    <x v="8"/>
    <n v="3"/>
    <x v="0"/>
    <n v="5985"/>
    <n v="26894"/>
    <n v="4"/>
    <s v="Y"/>
    <x v="1"/>
    <n v="11"/>
    <n v="3"/>
    <n v="2"/>
    <n v="80"/>
    <n v="0"/>
    <n v="10"/>
    <n v="1"/>
    <x v="3"/>
    <n v="2"/>
    <n v="2"/>
    <n v="0"/>
    <n v="2"/>
    <x v="0"/>
    <x v="3"/>
  </r>
  <r>
    <n v="34"/>
    <x v="1"/>
    <x v="0"/>
    <n v="204"/>
    <x v="0"/>
    <n v="14"/>
    <n v="3"/>
    <s v="Technical Degree"/>
    <n v="1"/>
    <n v="666"/>
    <n v="3"/>
    <s v="Female"/>
    <n v="31"/>
    <n v="3"/>
    <n v="1"/>
    <x v="6"/>
    <n v="3"/>
    <x v="2"/>
    <n v="2579"/>
    <n v="2912"/>
    <n v="1"/>
    <s v="Y"/>
    <x v="0"/>
    <n v="18"/>
    <n v="3"/>
    <n v="4"/>
    <n v="80"/>
    <n v="2"/>
    <n v="8"/>
    <n v="3"/>
    <x v="1"/>
    <n v="8"/>
    <n v="2"/>
    <n v="0"/>
    <n v="6"/>
    <x v="0"/>
    <x v="1"/>
  </r>
  <r>
    <n v="27"/>
    <x v="0"/>
    <x v="0"/>
    <n v="1420"/>
    <x v="0"/>
    <n v="2"/>
    <n v="1"/>
    <s v="Marketing"/>
    <n v="1"/>
    <n v="667"/>
    <n v="3"/>
    <s v="Male"/>
    <n v="85"/>
    <n v="3"/>
    <n v="1"/>
    <x v="6"/>
    <n v="1"/>
    <x v="2"/>
    <n v="3041"/>
    <n v="16346"/>
    <n v="0"/>
    <s v="Y"/>
    <x v="1"/>
    <n v="11"/>
    <n v="3"/>
    <n v="2"/>
    <n v="80"/>
    <n v="1"/>
    <n v="5"/>
    <n v="3"/>
    <x v="1"/>
    <n v="4"/>
    <n v="3"/>
    <n v="0"/>
    <n v="2"/>
    <x v="1"/>
    <x v="1"/>
  </r>
  <r>
    <n v="21"/>
    <x v="1"/>
    <x v="0"/>
    <n v="1343"/>
    <x v="0"/>
    <n v="22"/>
    <n v="1"/>
    <s v="Technical Degree"/>
    <n v="1"/>
    <n v="669"/>
    <n v="3"/>
    <s v="Male"/>
    <n v="49"/>
    <n v="3"/>
    <n v="1"/>
    <x v="6"/>
    <n v="3"/>
    <x v="0"/>
    <n v="3447"/>
    <n v="24444"/>
    <n v="1"/>
    <s v="Y"/>
    <x v="1"/>
    <n v="11"/>
    <n v="3"/>
    <n v="3"/>
    <n v="80"/>
    <n v="0"/>
    <n v="3"/>
    <n v="2"/>
    <x v="1"/>
    <n v="3"/>
    <n v="2"/>
    <n v="1"/>
    <n v="2"/>
    <x v="1"/>
    <x v="1"/>
  </r>
  <r>
    <n v="44"/>
    <x v="1"/>
    <x v="0"/>
    <n v="1315"/>
    <x v="1"/>
    <n v="3"/>
    <n v="4"/>
    <s v="Other"/>
    <n v="1"/>
    <n v="671"/>
    <n v="4"/>
    <s v="Male"/>
    <n v="35"/>
    <n v="3"/>
    <n v="5"/>
    <x v="5"/>
    <n v="4"/>
    <x v="1"/>
    <n v="19513"/>
    <n v="9358"/>
    <n v="4"/>
    <s v="Y"/>
    <x v="0"/>
    <n v="12"/>
    <n v="3"/>
    <n v="1"/>
    <n v="80"/>
    <n v="1"/>
    <n v="26"/>
    <n v="2"/>
    <x v="3"/>
    <n v="2"/>
    <n v="2"/>
    <n v="0"/>
    <n v="1"/>
    <x v="0"/>
    <x v="3"/>
  </r>
  <r>
    <n v="22"/>
    <x v="1"/>
    <x v="0"/>
    <n v="604"/>
    <x v="1"/>
    <n v="6"/>
    <n v="1"/>
    <s v="Medical"/>
    <n v="1"/>
    <n v="675"/>
    <n v="1"/>
    <s v="Male"/>
    <n v="69"/>
    <n v="3"/>
    <n v="1"/>
    <x v="1"/>
    <n v="3"/>
    <x v="1"/>
    <n v="2773"/>
    <n v="12145"/>
    <n v="0"/>
    <s v="Y"/>
    <x v="1"/>
    <n v="20"/>
    <n v="4"/>
    <n v="4"/>
    <n v="80"/>
    <n v="0"/>
    <n v="3"/>
    <n v="3"/>
    <x v="1"/>
    <n v="2"/>
    <n v="2"/>
    <n v="2"/>
    <n v="2"/>
    <x v="1"/>
    <x v="1"/>
  </r>
  <r>
    <n v="33"/>
    <x v="1"/>
    <x v="0"/>
    <n v="1216"/>
    <x v="0"/>
    <n v="8"/>
    <n v="4"/>
    <s v="Marketing"/>
    <n v="1"/>
    <n v="677"/>
    <n v="3"/>
    <s v="Male"/>
    <n v="39"/>
    <n v="3"/>
    <n v="2"/>
    <x v="0"/>
    <n v="3"/>
    <x v="2"/>
    <n v="7104"/>
    <n v="20431"/>
    <n v="0"/>
    <s v="Y"/>
    <x v="1"/>
    <n v="12"/>
    <n v="3"/>
    <n v="4"/>
    <n v="80"/>
    <n v="0"/>
    <n v="6"/>
    <n v="3"/>
    <x v="1"/>
    <n v="5"/>
    <n v="0"/>
    <n v="1"/>
    <n v="2"/>
    <x v="0"/>
    <x v="1"/>
  </r>
  <r>
    <n v="32"/>
    <x v="1"/>
    <x v="0"/>
    <n v="646"/>
    <x v="1"/>
    <n v="9"/>
    <n v="4"/>
    <s v="Life Sciences"/>
    <n v="1"/>
    <n v="679"/>
    <n v="1"/>
    <s v="Female"/>
    <n v="92"/>
    <n v="3"/>
    <n v="2"/>
    <x v="1"/>
    <n v="4"/>
    <x v="1"/>
    <n v="6322"/>
    <n v="18089"/>
    <n v="1"/>
    <s v="Y"/>
    <x v="0"/>
    <n v="12"/>
    <n v="3"/>
    <n v="4"/>
    <n v="80"/>
    <n v="1"/>
    <n v="6"/>
    <n v="2"/>
    <x v="2"/>
    <n v="6"/>
    <n v="4"/>
    <n v="0"/>
    <n v="5"/>
    <x v="0"/>
    <x v="2"/>
  </r>
  <r>
    <n v="30"/>
    <x v="1"/>
    <x v="1"/>
    <n v="160"/>
    <x v="1"/>
    <n v="3"/>
    <n v="3"/>
    <s v="Medical"/>
    <n v="1"/>
    <n v="680"/>
    <n v="3"/>
    <s v="Female"/>
    <n v="71"/>
    <n v="3"/>
    <n v="1"/>
    <x v="1"/>
    <n v="3"/>
    <x v="2"/>
    <n v="2083"/>
    <n v="22653"/>
    <n v="1"/>
    <s v="Y"/>
    <x v="1"/>
    <n v="20"/>
    <n v="4"/>
    <n v="3"/>
    <n v="80"/>
    <n v="1"/>
    <n v="1"/>
    <n v="2"/>
    <x v="1"/>
    <n v="1"/>
    <n v="0"/>
    <n v="0"/>
    <n v="0"/>
    <x v="1"/>
    <x v="1"/>
  </r>
  <r>
    <n v="53"/>
    <x v="1"/>
    <x v="0"/>
    <n v="238"/>
    <x v="0"/>
    <n v="1"/>
    <n v="1"/>
    <s v="Medical"/>
    <n v="1"/>
    <n v="682"/>
    <n v="4"/>
    <s v="Female"/>
    <n v="34"/>
    <n v="3"/>
    <n v="2"/>
    <x v="0"/>
    <n v="1"/>
    <x v="0"/>
    <n v="8381"/>
    <n v="7507"/>
    <n v="7"/>
    <s v="Y"/>
    <x v="1"/>
    <n v="20"/>
    <n v="4"/>
    <n v="4"/>
    <n v="80"/>
    <n v="0"/>
    <n v="18"/>
    <n v="2"/>
    <x v="3"/>
    <n v="14"/>
    <n v="7"/>
    <n v="8"/>
    <n v="10"/>
    <x v="2"/>
    <x v="3"/>
  </r>
  <r>
    <n v="34"/>
    <x v="1"/>
    <x v="0"/>
    <n v="1397"/>
    <x v="1"/>
    <n v="1"/>
    <n v="5"/>
    <s v="Life Sciences"/>
    <n v="1"/>
    <n v="683"/>
    <n v="2"/>
    <s v="Male"/>
    <n v="42"/>
    <n v="3"/>
    <n v="1"/>
    <x v="1"/>
    <n v="4"/>
    <x v="1"/>
    <n v="2691"/>
    <n v="7660"/>
    <n v="1"/>
    <s v="Y"/>
    <x v="1"/>
    <n v="12"/>
    <n v="3"/>
    <n v="4"/>
    <n v="80"/>
    <n v="1"/>
    <n v="10"/>
    <n v="4"/>
    <x v="2"/>
    <n v="10"/>
    <n v="9"/>
    <n v="8"/>
    <n v="8"/>
    <x v="0"/>
    <x v="2"/>
  </r>
  <r>
    <n v="45"/>
    <x v="0"/>
    <x v="1"/>
    <n v="306"/>
    <x v="0"/>
    <n v="26"/>
    <n v="4"/>
    <s v="Life Sciences"/>
    <n v="1"/>
    <n v="684"/>
    <n v="1"/>
    <s v="Female"/>
    <n v="100"/>
    <n v="3"/>
    <n v="2"/>
    <x v="0"/>
    <n v="1"/>
    <x v="1"/>
    <n v="4286"/>
    <n v="5630"/>
    <n v="2"/>
    <s v="Y"/>
    <x v="1"/>
    <n v="14"/>
    <n v="3"/>
    <n v="4"/>
    <n v="80"/>
    <n v="2"/>
    <n v="5"/>
    <n v="4"/>
    <x v="1"/>
    <n v="1"/>
    <n v="1"/>
    <n v="0"/>
    <n v="0"/>
    <x v="0"/>
    <x v="1"/>
  </r>
  <r>
    <n v="26"/>
    <x v="1"/>
    <x v="0"/>
    <n v="991"/>
    <x v="1"/>
    <n v="6"/>
    <n v="3"/>
    <s v="Life Sciences"/>
    <n v="1"/>
    <n v="686"/>
    <n v="3"/>
    <s v="Female"/>
    <n v="71"/>
    <n v="3"/>
    <n v="1"/>
    <x v="2"/>
    <n v="4"/>
    <x v="1"/>
    <n v="2659"/>
    <n v="17759"/>
    <n v="1"/>
    <s v="Y"/>
    <x v="0"/>
    <n v="13"/>
    <n v="3"/>
    <n v="3"/>
    <n v="80"/>
    <n v="1"/>
    <n v="3"/>
    <n v="2"/>
    <x v="1"/>
    <n v="3"/>
    <n v="2"/>
    <n v="0"/>
    <n v="2"/>
    <x v="1"/>
    <x v="1"/>
  </r>
  <r>
    <n v="37"/>
    <x v="1"/>
    <x v="0"/>
    <n v="482"/>
    <x v="1"/>
    <n v="3"/>
    <n v="3"/>
    <s v="Other"/>
    <n v="1"/>
    <n v="689"/>
    <n v="3"/>
    <s v="Male"/>
    <n v="36"/>
    <n v="3"/>
    <n v="3"/>
    <x v="3"/>
    <n v="3"/>
    <x v="1"/>
    <n v="9434"/>
    <n v="9606"/>
    <n v="1"/>
    <s v="Y"/>
    <x v="1"/>
    <n v="15"/>
    <n v="3"/>
    <n v="3"/>
    <n v="80"/>
    <n v="1"/>
    <n v="10"/>
    <n v="2"/>
    <x v="1"/>
    <n v="10"/>
    <n v="7"/>
    <n v="7"/>
    <n v="8"/>
    <x v="0"/>
    <x v="1"/>
  </r>
  <r>
    <n v="29"/>
    <x v="1"/>
    <x v="0"/>
    <n v="1176"/>
    <x v="0"/>
    <n v="3"/>
    <n v="2"/>
    <s v="Medical"/>
    <n v="1"/>
    <n v="690"/>
    <n v="2"/>
    <s v="Female"/>
    <n v="62"/>
    <n v="3"/>
    <n v="2"/>
    <x v="0"/>
    <n v="3"/>
    <x v="1"/>
    <n v="5561"/>
    <n v="3487"/>
    <n v="1"/>
    <s v="Y"/>
    <x v="1"/>
    <n v="14"/>
    <n v="3"/>
    <n v="1"/>
    <n v="80"/>
    <n v="1"/>
    <n v="6"/>
    <n v="5"/>
    <x v="2"/>
    <n v="6"/>
    <n v="0"/>
    <n v="1"/>
    <n v="2"/>
    <x v="1"/>
    <x v="2"/>
  </r>
  <r>
    <n v="35"/>
    <x v="1"/>
    <x v="0"/>
    <n v="1017"/>
    <x v="1"/>
    <n v="6"/>
    <n v="4"/>
    <s v="Life Sciences"/>
    <n v="1"/>
    <n v="691"/>
    <n v="2"/>
    <s v="Male"/>
    <n v="82"/>
    <n v="1"/>
    <n v="2"/>
    <x v="1"/>
    <n v="4"/>
    <x v="0"/>
    <n v="6646"/>
    <n v="19368"/>
    <n v="1"/>
    <s v="Y"/>
    <x v="1"/>
    <n v="13"/>
    <n v="3"/>
    <n v="2"/>
    <n v="80"/>
    <n v="0"/>
    <n v="17"/>
    <n v="3"/>
    <x v="1"/>
    <n v="17"/>
    <n v="11"/>
    <n v="11"/>
    <n v="8"/>
    <x v="0"/>
    <x v="1"/>
  </r>
  <r>
    <n v="33"/>
    <x v="1"/>
    <x v="1"/>
    <n v="1296"/>
    <x v="1"/>
    <n v="6"/>
    <n v="3"/>
    <s v="Life Sciences"/>
    <n v="1"/>
    <n v="692"/>
    <n v="3"/>
    <s v="Male"/>
    <n v="30"/>
    <n v="3"/>
    <n v="2"/>
    <x v="4"/>
    <n v="4"/>
    <x v="2"/>
    <n v="7725"/>
    <n v="5335"/>
    <n v="3"/>
    <s v="Y"/>
    <x v="1"/>
    <n v="23"/>
    <n v="4"/>
    <n v="3"/>
    <n v="80"/>
    <n v="1"/>
    <n v="15"/>
    <n v="2"/>
    <x v="0"/>
    <n v="13"/>
    <n v="11"/>
    <n v="4"/>
    <n v="7"/>
    <x v="0"/>
    <x v="0"/>
  </r>
  <r>
    <n v="54"/>
    <x v="1"/>
    <x v="0"/>
    <n v="397"/>
    <x v="2"/>
    <n v="19"/>
    <n v="4"/>
    <s v="Medical"/>
    <n v="1"/>
    <n v="698"/>
    <n v="3"/>
    <s v="Male"/>
    <n v="88"/>
    <n v="3"/>
    <n v="3"/>
    <x v="8"/>
    <n v="2"/>
    <x v="1"/>
    <n v="10725"/>
    <n v="6729"/>
    <n v="2"/>
    <s v="Y"/>
    <x v="1"/>
    <n v="15"/>
    <n v="3"/>
    <n v="3"/>
    <n v="80"/>
    <n v="1"/>
    <n v="16"/>
    <n v="1"/>
    <x v="3"/>
    <n v="9"/>
    <n v="7"/>
    <n v="7"/>
    <n v="1"/>
    <x v="2"/>
    <x v="3"/>
  </r>
  <r>
    <n v="36"/>
    <x v="1"/>
    <x v="0"/>
    <n v="913"/>
    <x v="1"/>
    <n v="9"/>
    <n v="2"/>
    <s v="Medical"/>
    <n v="1"/>
    <n v="699"/>
    <n v="2"/>
    <s v="Male"/>
    <n v="48"/>
    <n v="2"/>
    <n v="2"/>
    <x v="3"/>
    <n v="2"/>
    <x v="2"/>
    <n v="8847"/>
    <n v="13934"/>
    <n v="2"/>
    <s v="Y"/>
    <x v="0"/>
    <n v="11"/>
    <n v="3"/>
    <n v="3"/>
    <n v="80"/>
    <n v="1"/>
    <n v="13"/>
    <n v="2"/>
    <x v="1"/>
    <n v="3"/>
    <n v="2"/>
    <n v="0"/>
    <n v="2"/>
    <x v="0"/>
    <x v="1"/>
  </r>
  <r>
    <n v="27"/>
    <x v="1"/>
    <x v="0"/>
    <n v="1115"/>
    <x v="1"/>
    <n v="3"/>
    <n v="4"/>
    <s v="Medical"/>
    <n v="1"/>
    <n v="700"/>
    <n v="1"/>
    <s v="Male"/>
    <n v="54"/>
    <n v="2"/>
    <n v="1"/>
    <x v="1"/>
    <n v="4"/>
    <x v="0"/>
    <n v="2045"/>
    <n v="15174"/>
    <n v="0"/>
    <s v="Y"/>
    <x v="1"/>
    <n v="13"/>
    <n v="3"/>
    <n v="4"/>
    <n v="80"/>
    <n v="0"/>
    <n v="5"/>
    <n v="0"/>
    <x v="1"/>
    <n v="4"/>
    <n v="2"/>
    <n v="1"/>
    <n v="1"/>
    <x v="1"/>
    <x v="1"/>
  </r>
  <r>
    <n v="20"/>
    <x v="0"/>
    <x v="0"/>
    <n v="1362"/>
    <x v="1"/>
    <n v="10"/>
    <n v="1"/>
    <s v="Medical"/>
    <n v="1"/>
    <n v="701"/>
    <n v="4"/>
    <s v="Male"/>
    <n v="32"/>
    <n v="3"/>
    <n v="1"/>
    <x v="1"/>
    <n v="3"/>
    <x v="0"/>
    <n v="1009"/>
    <n v="26999"/>
    <n v="1"/>
    <s v="Y"/>
    <x v="0"/>
    <n v="11"/>
    <n v="3"/>
    <n v="4"/>
    <n v="80"/>
    <n v="0"/>
    <n v="1"/>
    <n v="5"/>
    <x v="1"/>
    <n v="1"/>
    <n v="0"/>
    <n v="1"/>
    <n v="1"/>
    <x v="1"/>
    <x v="1"/>
  </r>
  <r>
    <n v="33"/>
    <x v="0"/>
    <x v="1"/>
    <n v="1076"/>
    <x v="1"/>
    <n v="3"/>
    <n v="3"/>
    <s v="Life Sciences"/>
    <n v="1"/>
    <n v="702"/>
    <n v="1"/>
    <s v="Male"/>
    <n v="70"/>
    <n v="3"/>
    <n v="1"/>
    <x v="1"/>
    <n v="1"/>
    <x v="0"/>
    <n v="3348"/>
    <n v="3164"/>
    <n v="1"/>
    <s v="Y"/>
    <x v="0"/>
    <n v="11"/>
    <n v="3"/>
    <n v="1"/>
    <n v="80"/>
    <n v="0"/>
    <n v="10"/>
    <n v="3"/>
    <x v="1"/>
    <n v="10"/>
    <n v="8"/>
    <n v="9"/>
    <n v="7"/>
    <x v="0"/>
    <x v="1"/>
  </r>
  <r>
    <n v="35"/>
    <x v="1"/>
    <x v="2"/>
    <n v="727"/>
    <x v="1"/>
    <n v="3"/>
    <n v="3"/>
    <s v="Life Sciences"/>
    <n v="1"/>
    <n v="704"/>
    <n v="3"/>
    <s v="Male"/>
    <n v="41"/>
    <n v="2"/>
    <n v="1"/>
    <x v="2"/>
    <n v="3"/>
    <x v="1"/>
    <n v="1281"/>
    <n v="16900"/>
    <n v="1"/>
    <s v="Y"/>
    <x v="1"/>
    <n v="18"/>
    <n v="3"/>
    <n v="3"/>
    <n v="80"/>
    <n v="2"/>
    <n v="1"/>
    <n v="3"/>
    <x v="1"/>
    <n v="1"/>
    <n v="0"/>
    <n v="0"/>
    <n v="0"/>
    <x v="0"/>
    <x v="1"/>
  </r>
  <r>
    <n v="23"/>
    <x v="1"/>
    <x v="0"/>
    <n v="885"/>
    <x v="1"/>
    <n v="4"/>
    <n v="3"/>
    <s v="Medical"/>
    <n v="1"/>
    <n v="705"/>
    <n v="1"/>
    <s v="Male"/>
    <n v="58"/>
    <n v="4"/>
    <n v="1"/>
    <x v="1"/>
    <n v="1"/>
    <x v="1"/>
    <n v="2819"/>
    <n v="8544"/>
    <n v="2"/>
    <s v="Y"/>
    <x v="1"/>
    <n v="16"/>
    <n v="3"/>
    <n v="1"/>
    <n v="80"/>
    <n v="1"/>
    <n v="5"/>
    <n v="3"/>
    <x v="3"/>
    <n v="3"/>
    <n v="2"/>
    <n v="0"/>
    <n v="2"/>
    <x v="1"/>
    <x v="3"/>
  </r>
  <r>
    <n v="25"/>
    <x v="1"/>
    <x v="0"/>
    <n v="810"/>
    <x v="0"/>
    <n v="8"/>
    <n v="3"/>
    <s v="Life Sciences"/>
    <n v="1"/>
    <n v="707"/>
    <n v="4"/>
    <s v="Male"/>
    <n v="57"/>
    <n v="4"/>
    <n v="2"/>
    <x v="0"/>
    <n v="2"/>
    <x v="1"/>
    <n v="4851"/>
    <n v="15678"/>
    <n v="0"/>
    <s v="Y"/>
    <x v="1"/>
    <n v="22"/>
    <n v="4"/>
    <n v="3"/>
    <n v="80"/>
    <n v="1"/>
    <n v="4"/>
    <n v="4"/>
    <x v="1"/>
    <n v="3"/>
    <n v="2"/>
    <n v="1"/>
    <n v="2"/>
    <x v="1"/>
    <x v="1"/>
  </r>
  <r>
    <n v="38"/>
    <x v="1"/>
    <x v="0"/>
    <n v="243"/>
    <x v="0"/>
    <n v="7"/>
    <n v="4"/>
    <s v="Marketing"/>
    <n v="1"/>
    <n v="709"/>
    <n v="4"/>
    <s v="Female"/>
    <n v="46"/>
    <n v="2"/>
    <n v="2"/>
    <x v="0"/>
    <n v="4"/>
    <x v="0"/>
    <n v="4028"/>
    <n v="7791"/>
    <n v="0"/>
    <s v="Y"/>
    <x v="1"/>
    <n v="20"/>
    <n v="4"/>
    <n v="1"/>
    <n v="80"/>
    <n v="0"/>
    <n v="8"/>
    <n v="2"/>
    <x v="1"/>
    <n v="7"/>
    <n v="7"/>
    <n v="0"/>
    <n v="5"/>
    <x v="0"/>
    <x v="1"/>
  </r>
  <r>
    <n v="29"/>
    <x v="1"/>
    <x v="1"/>
    <n v="806"/>
    <x v="1"/>
    <n v="1"/>
    <n v="4"/>
    <s v="Life Sciences"/>
    <n v="1"/>
    <n v="710"/>
    <n v="2"/>
    <s v="Male"/>
    <n v="76"/>
    <n v="1"/>
    <n v="1"/>
    <x v="1"/>
    <n v="4"/>
    <x v="2"/>
    <n v="2720"/>
    <n v="18959"/>
    <n v="1"/>
    <s v="Y"/>
    <x v="1"/>
    <n v="18"/>
    <n v="3"/>
    <n v="4"/>
    <n v="80"/>
    <n v="1"/>
    <n v="10"/>
    <n v="5"/>
    <x v="1"/>
    <n v="10"/>
    <n v="7"/>
    <n v="2"/>
    <n v="8"/>
    <x v="1"/>
    <x v="1"/>
  </r>
  <r>
    <n v="48"/>
    <x v="1"/>
    <x v="0"/>
    <n v="817"/>
    <x v="0"/>
    <n v="2"/>
    <n v="1"/>
    <s v="Marketing"/>
    <n v="1"/>
    <n v="712"/>
    <n v="2"/>
    <s v="Male"/>
    <n v="56"/>
    <n v="4"/>
    <n v="2"/>
    <x v="0"/>
    <n v="2"/>
    <x v="1"/>
    <n v="8120"/>
    <n v="18597"/>
    <n v="3"/>
    <s v="Y"/>
    <x v="1"/>
    <n v="12"/>
    <n v="3"/>
    <n v="4"/>
    <n v="80"/>
    <n v="0"/>
    <n v="12"/>
    <n v="3"/>
    <x v="1"/>
    <n v="2"/>
    <n v="2"/>
    <n v="2"/>
    <n v="2"/>
    <x v="0"/>
    <x v="1"/>
  </r>
  <r>
    <n v="27"/>
    <x v="1"/>
    <x v="1"/>
    <n v="1410"/>
    <x v="0"/>
    <n v="3"/>
    <n v="1"/>
    <s v="Medical"/>
    <n v="1"/>
    <n v="714"/>
    <n v="4"/>
    <s v="Female"/>
    <n v="71"/>
    <n v="4"/>
    <n v="2"/>
    <x v="0"/>
    <n v="4"/>
    <x v="2"/>
    <n v="4647"/>
    <n v="16673"/>
    <n v="1"/>
    <s v="Y"/>
    <x v="0"/>
    <n v="20"/>
    <n v="4"/>
    <n v="2"/>
    <n v="80"/>
    <n v="2"/>
    <n v="6"/>
    <n v="3"/>
    <x v="1"/>
    <n v="6"/>
    <n v="5"/>
    <n v="0"/>
    <n v="4"/>
    <x v="1"/>
    <x v="1"/>
  </r>
  <r>
    <n v="37"/>
    <x v="1"/>
    <x v="0"/>
    <n v="1225"/>
    <x v="1"/>
    <n v="10"/>
    <n v="2"/>
    <s v="Life Sciences"/>
    <n v="1"/>
    <n v="715"/>
    <n v="4"/>
    <s v="Male"/>
    <n v="80"/>
    <n v="4"/>
    <n v="1"/>
    <x v="1"/>
    <n v="4"/>
    <x v="0"/>
    <n v="4680"/>
    <n v="15232"/>
    <n v="3"/>
    <s v="Y"/>
    <x v="1"/>
    <n v="17"/>
    <n v="3"/>
    <n v="1"/>
    <n v="80"/>
    <n v="0"/>
    <n v="4"/>
    <n v="2"/>
    <x v="1"/>
    <n v="1"/>
    <n v="0"/>
    <n v="0"/>
    <n v="0"/>
    <x v="0"/>
    <x v="1"/>
  </r>
  <r>
    <n v="50"/>
    <x v="1"/>
    <x v="0"/>
    <n v="1207"/>
    <x v="1"/>
    <n v="28"/>
    <n v="1"/>
    <s v="Medical"/>
    <n v="1"/>
    <n v="716"/>
    <n v="4"/>
    <s v="Male"/>
    <n v="74"/>
    <n v="4"/>
    <n v="1"/>
    <x v="2"/>
    <n v="3"/>
    <x v="1"/>
    <n v="3221"/>
    <n v="3297"/>
    <n v="1"/>
    <s v="Y"/>
    <x v="0"/>
    <n v="11"/>
    <n v="3"/>
    <n v="3"/>
    <n v="80"/>
    <n v="3"/>
    <n v="20"/>
    <n v="3"/>
    <x v="1"/>
    <n v="20"/>
    <n v="8"/>
    <n v="3"/>
    <n v="8"/>
    <x v="0"/>
    <x v="1"/>
  </r>
  <r>
    <n v="34"/>
    <x v="1"/>
    <x v="0"/>
    <n v="1442"/>
    <x v="1"/>
    <n v="9"/>
    <n v="3"/>
    <s v="Medical"/>
    <n v="1"/>
    <n v="717"/>
    <n v="4"/>
    <s v="Female"/>
    <n v="46"/>
    <n v="2"/>
    <n v="3"/>
    <x v="4"/>
    <n v="2"/>
    <x v="0"/>
    <n v="8621"/>
    <n v="17654"/>
    <n v="1"/>
    <s v="Y"/>
    <x v="1"/>
    <n v="14"/>
    <n v="3"/>
    <n v="2"/>
    <n v="80"/>
    <n v="0"/>
    <n v="9"/>
    <n v="3"/>
    <x v="3"/>
    <n v="8"/>
    <n v="7"/>
    <n v="7"/>
    <n v="7"/>
    <x v="0"/>
    <x v="3"/>
  </r>
  <r>
    <n v="24"/>
    <x v="0"/>
    <x v="0"/>
    <n v="693"/>
    <x v="0"/>
    <n v="3"/>
    <n v="2"/>
    <s v="Life Sciences"/>
    <n v="1"/>
    <n v="720"/>
    <n v="1"/>
    <s v="Female"/>
    <n v="65"/>
    <n v="3"/>
    <n v="2"/>
    <x v="0"/>
    <n v="3"/>
    <x v="0"/>
    <n v="4577"/>
    <n v="24785"/>
    <n v="9"/>
    <s v="Y"/>
    <x v="1"/>
    <n v="14"/>
    <n v="3"/>
    <n v="1"/>
    <n v="80"/>
    <n v="0"/>
    <n v="4"/>
    <n v="3"/>
    <x v="1"/>
    <n v="2"/>
    <n v="2"/>
    <n v="2"/>
    <n v="0"/>
    <x v="1"/>
    <x v="1"/>
  </r>
  <r>
    <n v="39"/>
    <x v="1"/>
    <x v="0"/>
    <n v="408"/>
    <x v="1"/>
    <n v="2"/>
    <n v="4"/>
    <s v="Technical Degree"/>
    <n v="1"/>
    <n v="721"/>
    <n v="4"/>
    <s v="Female"/>
    <n v="80"/>
    <n v="2"/>
    <n v="2"/>
    <x v="4"/>
    <n v="3"/>
    <x v="0"/>
    <n v="4553"/>
    <n v="20978"/>
    <n v="1"/>
    <s v="Y"/>
    <x v="1"/>
    <n v="11"/>
    <n v="3"/>
    <n v="1"/>
    <n v="80"/>
    <n v="0"/>
    <n v="20"/>
    <n v="4"/>
    <x v="1"/>
    <n v="20"/>
    <n v="7"/>
    <n v="11"/>
    <n v="10"/>
    <x v="0"/>
    <x v="1"/>
  </r>
  <r>
    <n v="32"/>
    <x v="1"/>
    <x v="0"/>
    <n v="929"/>
    <x v="0"/>
    <n v="10"/>
    <n v="3"/>
    <s v="Marketing"/>
    <n v="1"/>
    <n v="722"/>
    <n v="4"/>
    <s v="Male"/>
    <n v="55"/>
    <n v="3"/>
    <n v="2"/>
    <x v="0"/>
    <n v="4"/>
    <x v="0"/>
    <n v="5396"/>
    <n v="21703"/>
    <n v="1"/>
    <s v="Y"/>
    <x v="1"/>
    <n v="12"/>
    <n v="3"/>
    <n v="4"/>
    <n v="80"/>
    <n v="0"/>
    <n v="10"/>
    <n v="2"/>
    <x v="2"/>
    <n v="10"/>
    <n v="7"/>
    <n v="0"/>
    <n v="8"/>
    <x v="0"/>
    <x v="2"/>
  </r>
  <r>
    <n v="50"/>
    <x v="0"/>
    <x v="1"/>
    <n v="562"/>
    <x v="0"/>
    <n v="8"/>
    <n v="2"/>
    <s v="Technical Degree"/>
    <n v="1"/>
    <n v="723"/>
    <n v="2"/>
    <s v="Male"/>
    <n v="50"/>
    <n v="3"/>
    <n v="2"/>
    <x v="0"/>
    <n v="3"/>
    <x v="1"/>
    <n v="6796"/>
    <n v="23452"/>
    <n v="3"/>
    <s v="Y"/>
    <x v="0"/>
    <n v="14"/>
    <n v="3"/>
    <n v="1"/>
    <n v="80"/>
    <n v="1"/>
    <n v="18"/>
    <n v="4"/>
    <x v="1"/>
    <n v="4"/>
    <n v="3"/>
    <n v="1"/>
    <n v="3"/>
    <x v="0"/>
    <x v="1"/>
  </r>
  <r>
    <n v="38"/>
    <x v="1"/>
    <x v="0"/>
    <n v="827"/>
    <x v="1"/>
    <n v="1"/>
    <n v="4"/>
    <s v="Life Sciences"/>
    <n v="1"/>
    <n v="724"/>
    <n v="2"/>
    <s v="Female"/>
    <n v="33"/>
    <n v="4"/>
    <n v="2"/>
    <x v="4"/>
    <n v="4"/>
    <x v="0"/>
    <n v="7625"/>
    <n v="19383"/>
    <n v="0"/>
    <s v="Y"/>
    <x v="1"/>
    <n v="13"/>
    <n v="3"/>
    <n v="3"/>
    <n v="80"/>
    <n v="0"/>
    <n v="10"/>
    <n v="4"/>
    <x v="2"/>
    <n v="9"/>
    <n v="7"/>
    <n v="1"/>
    <n v="8"/>
    <x v="0"/>
    <x v="2"/>
  </r>
  <r>
    <n v="27"/>
    <x v="1"/>
    <x v="0"/>
    <n v="608"/>
    <x v="1"/>
    <n v="1"/>
    <n v="2"/>
    <s v="Life Sciences"/>
    <n v="1"/>
    <n v="725"/>
    <n v="3"/>
    <s v="Female"/>
    <n v="68"/>
    <n v="3"/>
    <n v="3"/>
    <x v="3"/>
    <n v="1"/>
    <x v="1"/>
    <n v="7412"/>
    <n v="6009"/>
    <n v="1"/>
    <s v="Y"/>
    <x v="1"/>
    <n v="11"/>
    <n v="3"/>
    <n v="4"/>
    <n v="80"/>
    <n v="0"/>
    <n v="9"/>
    <n v="3"/>
    <x v="1"/>
    <n v="9"/>
    <n v="7"/>
    <n v="0"/>
    <n v="7"/>
    <x v="1"/>
    <x v="1"/>
  </r>
  <r>
    <n v="32"/>
    <x v="1"/>
    <x v="0"/>
    <n v="1018"/>
    <x v="1"/>
    <n v="3"/>
    <n v="2"/>
    <s v="Life Sciences"/>
    <n v="1"/>
    <n v="727"/>
    <n v="3"/>
    <s v="Female"/>
    <n v="39"/>
    <n v="3"/>
    <n v="3"/>
    <x v="7"/>
    <n v="4"/>
    <x v="0"/>
    <n v="11159"/>
    <n v="19373"/>
    <n v="3"/>
    <s v="Y"/>
    <x v="1"/>
    <n v="15"/>
    <n v="3"/>
    <n v="4"/>
    <n v="80"/>
    <n v="0"/>
    <n v="10"/>
    <n v="6"/>
    <x v="1"/>
    <n v="7"/>
    <n v="7"/>
    <n v="7"/>
    <n v="7"/>
    <x v="0"/>
    <x v="1"/>
  </r>
  <r>
    <n v="47"/>
    <x v="1"/>
    <x v="0"/>
    <n v="703"/>
    <x v="0"/>
    <n v="14"/>
    <n v="4"/>
    <s v="Marketing"/>
    <n v="1"/>
    <n v="728"/>
    <n v="4"/>
    <s v="Male"/>
    <n v="42"/>
    <n v="3"/>
    <n v="2"/>
    <x v="0"/>
    <n v="1"/>
    <x v="0"/>
    <n v="4960"/>
    <n v="11825"/>
    <n v="2"/>
    <s v="Y"/>
    <x v="1"/>
    <n v="12"/>
    <n v="3"/>
    <n v="4"/>
    <n v="80"/>
    <n v="0"/>
    <n v="20"/>
    <n v="2"/>
    <x v="1"/>
    <n v="7"/>
    <n v="7"/>
    <n v="1"/>
    <n v="7"/>
    <x v="0"/>
    <x v="1"/>
  </r>
  <r>
    <n v="40"/>
    <x v="1"/>
    <x v="1"/>
    <n v="580"/>
    <x v="0"/>
    <n v="5"/>
    <n v="4"/>
    <s v="Life Sciences"/>
    <n v="1"/>
    <n v="729"/>
    <n v="4"/>
    <s v="Male"/>
    <n v="48"/>
    <n v="2"/>
    <n v="3"/>
    <x v="0"/>
    <n v="1"/>
    <x v="1"/>
    <n v="10475"/>
    <n v="23772"/>
    <n v="5"/>
    <s v="Y"/>
    <x v="0"/>
    <n v="21"/>
    <n v="4"/>
    <n v="3"/>
    <n v="80"/>
    <n v="1"/>
    <n v="20"/>
    <n v="2"/>
    <x v="1"/>
    <n v="18"/>
    <n v="13"/>
    <n v="1"/>
    <n v="12"/>
    <x v="0"/>
    <x v="1"/>
  </r>
  <r>
    <n v="53"/>
    <x v="1"/>
    <x v="0"/>
    <n v="970"/>
    <x v="1"/>
    <n v="7"/>
    <n v="3"/>
    <s v="Life Sciences"/>
    <n v="1"/>
    <n v="730"/>
    <n v="3"/>
    <s v="Male"/>
    <n v="59"/>
    <n v="4"/>
    <n v="4"/>
    <x v="7"/>
    <n v="3"/>
    <x v="1"/>
    <n v="14814"/>
    <n v="13514"/>
    <n v="3"/>
    <s v="Y"/>
    <x v="1"/>
    <n v="19"/>
    <n v="3"/>
    <n v="3"/>
    <n v="80"/>
    <n v="0"/>
    <n v="32"/>
    <n v="3"/>
    <x v="1"/>
    <n v="5"/>
    <n v="1"/>
    <n v="1"/>
    <n v="3"/>
    <x v="2"/>
    <x v="1"/>
  </r>
  <r>
    <n v="41"/>
    <x v="1"/>
    <x v="0"/>
    <n v="427"/>
    <x v="2"/>
    <n v="10"/>
    <n v="4"/>
    <s v="Human Resources"/>
    <n v="1"/>
    <n v="731"/>
    <n v="2"/>
    <s v="Male"/>
    <n v="73"/>
    <n v="2"/>
    <n v="5"/>
    <x v="5"/>
    <n v="4"/>
    <x v="2"/>
    <n v="19141"/>
    <n v="8861"/>
    <n v="3"/>
    <s v="Y"/>
    <x v="1"/>
    <n v="15"/>
    <n v="3"/>
    <n v="2"/>
    <n v="80"/>
    <n v="3"/>
    <n v="23"/>
    <n v="2"/>
    <x v="2"/>
    <n v="21"/>
    <n v="6"/>
    <n v="12"/>
    <n v="6"/>
    <x v="0"/>
    <x v="2"/>
  </r>
  <r>
    <n v="60"/>
    <x v="1"/>
    <x v="0"/>
    <n v="1179"/>
    <x v="0"/>
    <n v="16"/>
    <n v="4"/>
    <s v="Marketing"/>
    <n v="1"/>
    <n v="732"/>
    <n v="1"/>
    <s v="Male"/>
    <n v="84"/>
    <n v="3"/>
    <n v="2"/>
    <x v="0"/>
    <n v="1"/>
    <x v="0"/>
    <n v="5405"/>
    <n v="11924"/>
    <n v="8"/>
    <s v="Y"/>
    <x v="1"/>
    <n v="14"/>
    <n v="3"/>
    <n v="4"/>
    <n v="80"/>
    <n v="0"/>
    <n v="10"/>
    <n v="1"/>
    <x v="1"/>
    <n v="2"/>
    <n v="2"/>
    <n v="2"/>
    <n v="2"/>
    <x v="2"/>
    <x v="1"/>
  </r>
  <r>
    <n v="27"/>
    <x v="1"/>
    <x v="1"/>
    <n v="294"/>
    <x v="1"/>
    <n v="10"/>
    <n v="2"/>
    <s v="Life Sciences"/>
    <n v="1"/>
    <n v="733"/>
    <n v="4"/>
    <s v="Male"/>
    <n v="32"/>
    <n v="3"/>
    <n v="3"/>
    <x v="3"/>
    <n v="1"/>
    <x v="2"/>
    <n v="8793"/>
    <n v="4809"/>
    <n v="1"/>
    <s v="Y"/>
    <x v="1"/>
    <n v="21"/>
    <n v="4"/>
    <n v="3"/>
    <n v="80"/>
    <n v="2"/>
    <n v="9"/>
    <n v="4"/>
    <x v="2"/>
    <n v="9"/>
    <n v="7"/>
    <n v="1"/>
    <n v="7"/>
    <x v="1"/>
    <x v="2"/>
  </r>
  <r>
    <n v="41"/>
    <x v="1"/>
    <x v="0"/>
    <n v="314"/>
    <x v="2"/>
    <n v="1"/>
    <n v="3"/>
    <s v="Human Resources"/>
    <n v="1"/>
    <n v="734"/>
    <n v="4"/>
    <s v="Male"/>
    <n v="59"/>
    <n v="2"/>
    <n v="5"/>
    <x v="5"/>
    <n v="3"/>
    <x v="1"/>
    <n v="19189"/>
    <n v="19562"/>
    <n v="1"/>
    <s v="Y"/>
    <x v="1"/>
    <n v="12"/>
    <n v="3"/>
    <n v="2"/>
    <n v="80"/>
    <n v="1"/>
    <n v="22"/>
    <n v="3"/>
    <x v="1"/>
    <n v="22"/>
    <n v="7"/>
    <n v="2"/>
    <n v="10"/>
    <x v="0"/>
    <x v="1"/>
  </r>
  <r>
    <n v="50"/>
    <x v="1"/>
    <x v="0"/>
    <n v="316"/>
    <x v="0"/>
    <n v="8"/>
    <n v="4"/>
    <s v="Marketing"/>
    <n v="1"/>
    <n v="738"/>
    <n v="4"/>
    <s v="Male"/>
    <n v="54"/>
    <n v="3"/>
    <n v="1"/>
    <x v="6"/>
    <n v="2"/>
    <x v="1"/>
    <n v="3875"/>
    <n v="9983"/>
    <n v="7"/>
    <s v="Y"/>
    <x v="1"/>
    <n v="15"/>
    <n v="3"/>
    <n v="4"/>
    <n v="80"/>
    <n v="1"/>
    <n v="4"/>
    <n v="2"/>
    <x v="1"/>
    <n v="2"/>
    <n v="2"/>
    <n v="2"/>
    <n v="2"/>
    <x v="0"/>
    <x v="1"/>
  </r>
  <r>
    <n v="28"/>
    <x v="0"/>
    <x v="0"/>
    <n v="654"/>
    <x v="1"/>
    <n v="1"/>
    <n v="2"/>
    <s v="Life Sciences"/>
    <n v="1"/>
    <n v="741"/>
    <n v="1"/>
    <s v="Female"/>
    <n v="67"/>
    <n v="1"/>
    <n v="1"/>
    <x v="1"/>
    <n v="2"/>
    <x v="0"/>
    <n v="2216"/>
    <n v="3872"/>
    <n v="7"/>
    <s v="Y"/>
    <x v="0"/>
    <n v="13"/>
    <n v="3"/>
    <n v="4"/>
    <n v="80"/>
    <n v="0"/>
    <n v="10"/>
    <n v="4"/>
    <x v="1"/>
    <n v="7"/>
    <n v="7"/>
    <n v="3"/>
    <n v="7"/>
    <x v="1"/>
    <x v="1"/>
  </r>
  <r>
    <n v="36"/>
    <x v="1"/>
    <x v="2"/>
    <n v="427"/>
    <x v="1"/>
    <n v="8"/>
    <n v="3"/>
    <s v="Life Sciences"/>
    <n v="1"/>
    <n v="742"/>
    <n v="1"/>
    <s v="Female"/>
    <n v="63"/>
    <n v="4"/>
    <n v="3"/>
    <x v="7"/>
    <n v="1"/>
    <x v="1"/>
    <n v="11713"/>
    <n v="20335"/>
    <n v="9"/>
    <s v="Y"/>
    <x v="1"/>
    <n v="14"/>
    <n v="3"/>
    <n v="1"/>
    <n v="80"/>
    <n v="1"/>
    <n v="10"/>
    <n v="2"/>
    <x v="1"/>
    <n v="8"/>
    <n v="7"/>
    <n v="0"/>
    <n v="5"/>
    <x v="0"/>
    <x v="1"/>
  </r>
  <r>
    <n v="38"/>
    <x v="1"/>
    <x v="0"/>
    <n v="168"/>
    <x v="1"/>
    <n v="1"/>
    <n v="3"/>
    <s v="Life Sciences"/>
    <n v="1"/>
    <n v="743"/>
    <n v="3"/>
    <s v="Female"/>
    <n v="81"/>
    <n v="3"/>
    <n v="3"/>
    <x v="3"/>
    <n v="3"/>
    <x v="0"/>
    <n v="7861"/>
    <n v="15397"/>
    <n v="4"/>
    <s v="Y"/>
    <x v="0"/>
    <n v="14"/>
    <n v="3"/>
    <n v="4"/>
    <n v="80"/>
    <n v="0"/>
    <n v="10"/>
    <n v="4"/>
    <x v="3"/>
    <n v="1"/>
    <n v="0"/>
    <n v="0"/>
    <n v="0"/>
    <x v="0"/>
    <x v="3"/>
  </r>
  <r>
    <n v="44"/>
    <x v="1"/>
    <x v="2"/>
    <n v="381"/>
    <x v="1"/>
    <n v="24"/>
    <n v="3"/>
    <s v="Medical"/>
    <n v="1"/>
    <n v="744"/>
    <n v="1"/>
    <s v="Male"/>
    <n v="49"/>
    <n v="1"/>
    <n v="1"/>
    <x v="2"/>
    <n v="3"/>
    <x v="0"/>
    <n v="3708"/>
    <n v="2104"/>
    <n v="2"/>
    <s v="Y"/>
    <x v="1"/>
    <n v="14"/>
    <n v="3"/>
    <n v="3"/>
    <n v="80"/>
    <n v="0"/>
    <n v="9"/>
    <n v="5"/>
    <x v="1"/>
    <n v="5"/>
    <n v="2"/>
    <n v="1"/>
    <n v="4"/>
    <x v="0"/>
    <x v="1"/>
  </r>
  <r>
    <n v="47"/>
    <x v="1"/>
    <x v="1"/>
    <n v="217"/>
    <x v="0"/>
    <n v="3"/>
    <n v="3"/>
    <s v="Medical"/>
    <n v="1"/>
    <n v="746"/>
    <n v="4"/>
    <s v="Female"/>
    <n v="49"/>
    <n v="3"/>
    <n v="4"/>
    <x v="0"/>
    <n v="3"/>
    <x v="2"/>
    <n v="13770"/>
    <n v="10225"/>
    <n v="9"/>
    <s v="Y"/>
    <x v="0"/>
    <n v="12"/>
    <n v="3"/>
    <n v="4"/>
    <n v="80"/>
    <n v="2"/>
    <n v="28"/>
    <n v="2"/>
    <x v="2"/>
    <n v="22"/>
    <n v="2"/>
    <n v="11"/>
    <n v="13"/>
    <x v="0"/>
    <x v="2"/>
  </r>
  <r>
    <n v="30"/>
    <x v="1"/>
    <x v="0"/>
    <n v="501"/>
    <x v="0"/>
    <n v="27"/>
    <n v="5"/>
    <s v="Marketing"/>
    <n v="1"/>
    <n v="747"/>
    <n v="3"/>
    <s v="Male"/>
    <n v="99"/>
    <n v="3"/>
    <n v="2"/>
    <x v="0"/>
    <n v="4"/>
    <x v="2"/>
    <n v="5304"/>
    <n v="25275"/>
    <n v="7"/>
    <s v="Y"/>
    <x v="1"/>
    <n v="23"/>
    <n v="4"/>
    <n v="4"/>
    <n v="80"/>
    <n v="1"/>
    <n v="10"/>
    <n v="2"/>
    <x v="2"/>
    <n v="8"/>
    <n v="7"/>
    <n v="7"/>
    <n v="7"/>
    <x v="1"/>
    <x v="2"/>
  </r>
  <r>
    <n v="29"/>
    <x v="1"/>
    <x v="0"/>
    <n v="1396"/>
    <x v="0"/>
    <n v="10"/>
    <n v="3"/>
    <s v="Life Sciences"/>
    <n v="1"/>
    <n v="749"/>
    <n v="3"/>
    <s v="Male"/>
    <n v="99"/>
    <n v="3"/>
    <n v="1"/>
    <x v="6"/>
    <n v="3"/>
    <x v="0"/>
    <n v="2642"/>
    <n v="2755"/>
    <n v="1"/>
    <s v="Y"/>
    <x v="1"/>
    <n v="11"/>
    <n v="3"/>
    <n v="3"/>
    <n v="80"/>
    <n v="0"/>
    <n v="1"/>
    <n v="6"/>
    <x v="1"/>
    <n v="1"/>
    <n v="0"/>
    <n v="0"/>
    <n v="0"/>
    <x v="1"/>
    <x v="1"/>
  </r>
  <r>
    <n v="42"/>
    <x v="0"/>
    <x v="1"/>
    <n v="933"/>
    <x v="1"/>
    <n v="19"/>
    <n v="3"/>
    <s v="Medical"/>
    <n v="1"/>
    <n v="752"/>
    <n v="3"/>
    <s v="Male"/>
    <n v="57"/>
    <n v="4"/>
    <n v="1"/>
    <x v="1"/>
    <n v="3"/>
    <x v="2"/>
    <n v="2759"/>
    <n v="20366"/>
    <n v="6"/>
    <s v="Y"/>
    <x v="0"/>
    <n v="12"/>
    <n v="3"/>
    <n v="4"/>
    <n v="80"/>
    <n v="0"/>
    <n v="7"/>
    <n v="2"/>
    <x v="1"/>
    <n v="2"/>
    <n v="2"/>
    <n v="2"/>
    <n v="2"/>
    <x v="0"/>
    <x v="1"/>
  </r>
  <r>
    <n v="43"/>
    <x v="1"/>
    <x v="1"/>
    <n v="775"/>
    <x v="0"/>
    <n v="15"/>
    <n v="3"/>
    <s v="Life Sciences"/>
    <n v="1"/>
    <n v="754"/>
    <n v="4"/>
    <s v="Male"/>
    <n v="47"/>
    <n v="2"/>
    <n v="2"/>
    <x v="0"/>
    <n v="4"/>
    <x v="1"/>
    <n v="6804"/>
    <n v="23683"/>
    <n v="3"/>
    <s v="Y"/>
    <x v="1"/>
    <n v="18"/>
    <n v="3"/>
    <n v="3"/>
    <n v="80"/>
    <n v="1"/>
    <n v="7"/>
    <n v="5"/>
    <x v="1"/>
    <n v="2"/>
    <n v="2"/>
    <n v="2"/>
    <n v="2"/>
    <x v="0"/>
    <x v="1"/>
  </r>
  <r>
    <n v="34"/>
    <x v="1"/>
    <x v="0"/>
    <n v="970"/>
    <x v="1"/>
    <n v="8"/>
    <n v="2"/>
    <s v="Medical"/>
    <n v="1"/>
    <n v="757"/>
    <n v="2"/>
    <s v="Female"/>
    <n v="96"/>
    <n v="3"/>
    <n v="2"/>
    <x v="4"/>
    <n v="3"/>
    <x v="0"/>
    <n v="6142"/>
    <n v="7360"/>
    <n v="3"/>
    <s v="Y"/>
    <x v="1"/>
    <n v="11"/>
    <n v="3"/>
    <n v="4"/>
    <n v="80"/>
    <n v="0"/>
    <n v="10"/>
    <n v="2"/>
    <x v="1"/>
    <n v="5"/>
    <n v="1"/>
    <n v="4"/>
    <n v="3"/>
    <x v="0"/>
    <x v="1"/>
  </r>
  <r>
    <n v="23"/>
    <x v="1"/>
    <x v="0"/>
    <n v="650"/>
    <x v="1"/>
    <n v="9"/>
    <n v="1"/>
    <s v="Medical"/>
    <n v="1"/>
    <n v="758"/>
    <n v="2"/>
    <s v="Male"/>
    <n v="37"/>
    <n v="3"/>
    <n v="1"/>
    <x v="2"/>
    <n v="1"/>
    <x v="1"/>
    <n v="2500"/>
    <n v="4344"/>
    <n v="1"/>
    <s v="Y"/>
    <x v="1"/>
    <n v="14"/>
    <n v="3"/>
    <n v="4"/>
    <n v="80"/>
    <n v="1"/>
    <n v="5"/>
    <n v="2"/>
    <x v="3"/>
    <n v="4"/>
    <n v="3"/>
    <n v="0"/>
    <n v="2"/>
    <x v="1"/>
    <x v="3"/>
  </r>
  <r>
    <n v="39"/>
    <x v="1"/>
    <x v="0"/>
    <n v="141"/>
    <x v="2"/>
    <n v="3"/>
    <n v="3"/>
    <s v="Human Resources"/>
    <n v="1"/>
    <n v="760"/>
    <n v="3"/>
    <s v="Female"/>
    <n v="44"/>
    <n v="4"/>
    <n v="2"/>
    <x v="8"/>
    <n v="2"/>
    <x v="1"/>
    <n v="6389"/>
    <n v="18767"/>
    <n v="9"/>
    <s v="Y"/>
    <x v="1"/>
    <n v="15"/>
    <n v="3"/>
    <n v="3"/>
    <n v="80"/>
    <n v="1"/>
    <n v="12"/>
    <n v="3"/>
    <x v="0"/>
    <n v="8"/>
    <n v="3"/>
    <n v="3"/>
    <n v="6"/>
    <x v="0"/>
    <x v="0"/>
  </r>
  <r>
    <n v="56"/>
    <x v="1"/>
    <x v="0"/>
    <n v="832"/>
    <x v="1"/>
    <n v="9"/>
    <n v="3"/>
    <s v="Medical"/>
    <n v="1"/>
    <n v="762"/>
    <n v="3"/>
    <s v="Male"/>
    <n v="81"/>
    <n v="3"/>
    <n v="4"/>
    <x v="4"/>
    <n v="4"/>
    <x v="1"/>
    <n v="11103"/>
    <n v="20420"/>
    <n v="7"/>
    <s v="Y"/>
    <x v="1"/>
    <n v="11"/>
    <n v="3"/>
    <n v="3"/>
    <n v="80"/>
    <n v="0"/>
    <n v="30"/>
    <n v="1"/>
    <x v="2"/>
    <n v="10"/>
    <n v="7"/>
    <n v="1"/>
    <n v="1"/>
    <x v="2"/>
    <x v="2"/>
  </r>
  <r>
    <n v="40"/>
    <x v="1"/>
    <x v="0"/>
    <n v="804"/>
    <x v="1"/>
    <n v="2"/>
    <n v="1"/>
    <s v="Medical"/>
    <n v="1"/>
    <n v="763"/>
    <n v="4"/>
    <s v="Female"/>
    <n v="86"/>
    <n v="2"/>
    <n v="1"/>
    <x v="1"/>
    <n v="4"/>
    <x v="0"/>
    <n v="2342"/>
    <n v="22929"/>
    <n v="0"/>
    <s v="Y"/>
    <x v="0"/>
    <n v="20"/>
    <n v="4"/>
    <n v="4"/>
    <n v="80"/>
    <n v="0"/>
    <n v="5"/>
    <n v="2"/>
    <x v="2"/>
    <n v="4"/>
    <n v="2"/>
    <n v="2"/>
    <n v="3"/>
    <x v="0"/>
    <x v="2"/>
  </r>
  <r>
    <n v="27"/>
    <x v="1"/>
    <x v="0"/>
    <n v="975"/>
    <x v="1"/>
    <n v="7"/>
    <n v="3"/>
    <s v="Medical"/>
    <n v="1"/>
    <n v="764"/>
    <n v="4"/>
    <s v="Female"/>
    <n v="55"/>
    <n v="2"/>
    <n v="2"/>
    <x v="4"/>
    <n v="1"/>
    <x v="0"/>
    <n v="6811"/>
    <n v="23398"/>
    <n v="8"/>
    <s v="Y"/>
    <x v="1"/>
    <n v="19"/>
    <n v="3"/>
    <n v="1"/>
    <n v="80"/>
    <n v="0"/>
    <n v="9"/>
    <n v="2"/>
    <x v="0"/>
    <n v="7"/>
    <n v="6"/>
    <n v="0"/>
    <n v="7"/>
    <x v="1"/>
    <x v="0"/>
  </r>
  <r>
    <n v="29"/>
    <x v="1"/>
    <x v="0"/>
    <n v="1090"/>
    <x v="0"/>
    <n v="10"/>
    <n v="3"/>
    <s v="Marketing"/>
    <n v="1"/>
    <n v="766"/>
    <n v="4"/>
    <s v="Male"/>
    <n v="83"/>
    <n v="3"/>
    <n v="1"/>
    <x v="6"/>
    <n v="2"/>
    <x v="2"/>
    <n v="2297"/>
    <n v="17967"/>
    <n v="1"/>
    <s v="Y"/>
    <x v="1"/>
    <n v="14"/>
    <n v="3"/>
    <n v="4"/>
    <n v="80"/>
    <n v="2"/>
    <n v="2"/>
    <n v="2"/>
    <x v="1"/>
    <n v="2"/>
    <n v="2"/>
    <n v="2"/>
    <n v="2"/>
    <x v="1"/>
    <x v="1"/>
  </r>
  <r>
    <n v="53"/>
    <x v="1"/>
    <x v="0"/>
    <n v="346"/>
    <x v="1"/>
    <n v="6"/>
    <n v="3"/>
    <s v="Life Sciences"/>
    <n v="1"/>
    <n v="769"/>
    <n v="4"/>
    <s v="Male"/>
    <n v="86"/>
    <n v="3"/>
    <n v="2"/>
    <x v="2"/>
    <n v="4"/>
    <x v="0"/>
    <n v="2450"/>
    <n v="10919"/>
    <n v="2"/>
    <s v="Y"/>
    <x v="1"/>
    <n v="17"/>
    <n v="3"/>
    <n v="4"/>
    <n v="80"/>
    <n v="0"/>
    <n v="19"/>
    <n v="4"/>
    <x v="1"/>
    <n v="2"/>
    <n v="2"/>
    <n v="2"/>
    <n v="2"/>
    <x v="2"/>
    <x v="1"/>
  </r>
  <r>
    <n v="35"/>
    <x v="1"/>
    <x v="2"/>
    <n v="1225"/>
    <x v="1"/>
    <n v="2"/>
    <n v="4"/>
    <s v="Life Sciences"/>
    <n v="1"/>
    <n v="771"/>
    <n v="4"/>
    <s v="Female"/>
    <n v="61"/>
    <n v="3"/>
    <n v="2"/>
    <x v="4"/>
    <n v="1"/>
    <x v="2"/>
    <n v="5093"/>
    <n v="4761"/>
    <n v="2"/>
    <s v="Y"/>
    <x v="1"/>
    <n v="11"/>
    <n v="3"/>
    <n v="1"/>
    <n v="80"/>
    <n v="1"/>
    <n v="16"/>
    <n v="2"/>
    <x v="3"/>
    <n v="1"/>
    <n v="0"/>
    <n v="0"/>
    <n v="0"/>
    <x v="0"/>
    <x v="3"/>
  </r>
  <r>
    <n v="32"/>
    <x v="1"/>
    <x v="1"/>
    <n v="430"/>
    <x v="1"/>
    <n v="24"/>
    <n v="4"/>
    <s v="Life Sciences"/>
    <n v="1"/>
    <n v="772"/>
    <n v="1"/>
    <s v="Male"/>
    <n v="80"/>
    <n v="3"/>
    <n v="2"/>
    <x v="2"/>
    <n v="4"/>
    <x v="1"/>
    <n v="5309"/>
    <n v="21146"/>
    <n v="1"/>
    <s v="Y"/>
    <x v="1"/>
    <n v="15"/>
    <n v="3"/>
    <n v="4"/>
    <n v="80"/>
    <n v="2"/>
    <n v="10"/>
    <n v="2"/>
    <x v="1"/>
    <n v="10"/>
    <n v="8"/>
    <n v="4"/>
    <n v="7"/>
    <x v="0"/>
    <x v="1"/>
  </r>
  <r>
    <n v="38"/>
    <x v="1"/>
    <x v="0"/>
    <n v="268"/>
    <x v="1"/>
    <n v="2"/>
    <n v="5"/>
    <s v="Medical"/>
    <n v="1"/>
    <n v="773"/>
    <n v="4"/>
    <s v="Male"/>
    <n v="92"/>
    <n v="3"/>
    <n v="1"/>
    <x v="1"/>
    <n v="3"/>
    <x v="1"/>
    <n v="3057"/>
    <n v="20471"/>
    <n v="6"/>
    <s v="Y"/>
    <x v="0"/>
    <n v="13"/>
    <n v="3"/>
    <n v="2"/>
    <n v="80"/>
    <n v="1"/>
    <n v="6"/>
    <n v="0"/>
    <x v="0"/>
    <n v="1"/>
    <n v="0"/>
    <n v="0"/>
    <n v="1"/>
    <x v="0"/>
    <x v="0"/>
  </r>
  <r>
    <n v="34"/>
    <x v="1"/>
    <x v="0"/>
    <n v="167"/>
    <x v="1"/>
    <n v="8"/>
    <n v="5"/>
    <s v="Life Sciences"/>
    <n v="1"/>
    <n v="775"/>
    <n v="2"/>
    <s v="Female"/>
    <n v="32"/>
    <n v="3"/>
    <n v="2"/>
    <x v="3"/>
    <n v="1"/>
    <x v="2"/>
    <n v="5121"/>
    <n v="4187"/>
    <n v="3"/>
    <s v="Y"/>
    <x v="1"/>
    <n v="14"/>
    <n v="3"/>
    <n v="3"/>
    <n v="80"/>
    <n v="1"/>
    <n v="7"/>
    <n v="3"/>
    <x v="1"/>
    <n v="0"/>
    <n v="0"/>
    <n v="0"/>
    <n v="0"/>
    <x v="0"/>
    <x v="1"/>
  </r>
  <r>
    <n v="52"/>
    <x v="1"/>
    <x v="0"/>
    <n v="621"/>
    <x v="0"/>
    <n v="3"/>
    <n v="4"/>
    <s v="Marketing"/>
    <n v="1"/>
    <n v="776"/>
    <n v="3"/>
    <s v="Male"/>
    <n v="31"/>
    <n v="2"/>
    <n v="4"/>
    <x v="5"/>
    <n v="1"/>
    <x v="1"/>
    <n v="16856"/>
    <n v="10084"/>
    <n v="1"/>
    <s v="Y"/>
    <x v="1"/>
    <n v="11"/>
    <n v="3"/>
    <n v="1"/>
    <n v="80"/>
    <n v="0"/>
    <n v="34"/>
    <n v="3"/>
    <x v="3"/>
    <n v="34"/>
    <n v="6"/>
    <n v="1"/>
    <n v="16"/>
    <x v="2"/>
    <x v="3"/>
  </r>
  <r>
    <n v="33"/>
    <x v="0"/>
    <x v="0"/>
    <n v="527"/>
    <x v="1"/>
    <n v="1"/>
    <n v="4"/>
    <s v="Other"/>
    <n v="1"/>
    <n v="780"/>
    <n v="4"/>
    <s v="Male"/>
    <n v="63"/>
    <n v="3"/>
    <n v="1"/>
    <x v="1"/>
    <n v="4"/>
    <x v="0"/>
    <n v="2686"/>
    <n v="5207"/>
    <n v="1"/>
    <s v="Y"/>
    <x v="0"/>
    <n v="13"/>
    <n v="3"/>
    <n v="3"/>
    <n v="80"/>
    <n v="0"/>
    <n v="10"/>
    <n v="2"/>
    <x v="2"/>
    <n v="10"/>
    <n v="9"/>
    <n v="7"/>
    <n v="8"/>
    <x v="0"/>
    <x v="2"/>
  </r>
  <r>
    <n v="25"/>
    <x v="1"/>
    <x v="0"/>
    <n v="883"/>
    <x v="0"/>
    <n v="26"/>
    <n v="1"/>
    <s v="Medical"/>
    <n v="1"/>
    <n v="781"/>
    <n v="3"/>
    <s v="Female"/>
    <n v="32"/>
    <n v="3"/>
    <n v="2"/>
    <x v="0"/>
    <n v="4"/>
    <x v="0"/>
    <n v="6180"/>
    <n v="22807"/>
    <n v="1"/>
    <s v="Y"/>
    <x v="1"/>
    <n v="23"/>
    <n v="4"/>
    <n v="2"/>
    <n v="80"/>
    <n v="0"/>
    <n v="6"/>
    <n v="5"/>
    <x v="2"/>
    <n v="6"/>
    <n v="5"/>
    <n v="1"/>
    <n v="4"/>
    <x v="1"/>
    <x v="2"/>
  </r>
  <r>
    <n v="45"/>
    <x v="1"/>
    <x v="0"/>
    <n v="954"/>
    <x v="0"/>
    <n v="2"/>
    <n v="2"/>
    <s v="Technical Degree"/>
    <n v="1"/>
    <n v="783"/>
    <n v="2"/>
    <s v="Male"/>
    <n v="46"/>
    <n v="1"/>
    <n v="2"/>
    <x v="6"/>
    <n v="3"/>
    <x v="0"/>
    <n v="6632"/>
    <n v="12388"/>
    <n v="0"/>
    <s v="Y"/>
    <x v="1"/>
    <n v="13"/>
    <n v="3"/>
    <n v="1"/>
    <n v="80"/>
    <n v="0"/>
    <n v="9"/>
    <n v="3"/>
    <x v="1"/>
    <n v="8"/>
    <n v="7"/>
    <n v="3"/>
    <n v="1"/>
    <x v="0"/>
    <x v="1"/>
  </r>
  <r>
    <n v="23"/>
    <x v="1"/>
    <x v="0"/>
    <n v="310"/>
    <x v="1"/>
    <n v="10"/>
    <n v="1"/>
    <s v="Medical"/>
    <n v="1"/>
    <n v="784"/>
    <n v="1"/>
    <s v="Male"/>
    <n v="79"/>
    <n v="4"/>
    <n v="1"/>
    <x v="1"/>
    <n v="3"/>
    <x v="0"/>
    <n v="3505"/>
    <n v="19630"/>
    <n v="1"/>
    <s v="Y"/>
    <x v="1"/>
    <n v="18"/>
    <n v="3"/>
    <n v="4"/>
    <n v="80"/>
    <n v="0"/>
    <n v="2"/>
    <n v="3"/>
    <x v="1"/>
    <n v="2"/>
    <n v="2"/>
    <n v="0"/>
    <n v="2"/>
    <x v="1"/>
    <x v="1"/>
  </r>
  <r>
    <n v="47"/>
    <x v="0"/>
    <x v="1"/>
    <n v="719"/>
    <x v="0"/>
    <n v="27"/>
    <n v="2"/>
    <s v="Life Sciences"/>
    <n v="1"/>
    <n v="785"/>
    <n v="2"/>
    <s v="Female"/>
    <n v="77"/>
    <n v="4"/>
    <n v="2"/>
    <x v="0"/>
    <n v="3"/>
    <x v="0"/>
    <n v="6397"/>
    <n v="10339"/>
    <n v="4"/>
    <s v="Y"/>
    <x v="0"/>
    <n v="12"/>
    <n v="3"/>
    <n v="4"/>
    <n v="80"/>
    <n v="0"/>
    <n v="8"/>
    <n v="2"/>
    <x v="1"/>
    <n v="5"/>
    <n v="4"/>
    <n v="1"/>
    <n v="3"/>
    <x v="0"/>
    <x v="1"/>
  </r>
  <r>
    <n v="34"/>
    <x v="1"/>
    <x v="0"/>
    <n v="304"/>
    <x v="0"/>
    <n v="2"/>
    <n v="3"/>
    <s v="Other"/>
    <n v="1"/>
    <n v="786"/>
    <n v="4"/>
    <s v="Male"/>
    <n v="60"/>
    <n v="3"/>
    <n v="2"/>
    <x v="0"/>
    <n v="4"/>
    <x v="0"/>
    <n v="6274"/>
    <n v="18686"/>
    <n v="1"/>
    <s v="Y"/>
    <x v="1"/>
    <n v="22"/>
    <n v="4"/>
    <n v="3"/>
    <n v="80"/>
    <n v="0"/>
    <n v="6"/>
    <n v="5"/>
    <x v="1"/>
    <n v="6"/>
    <n v="5"/>
    <n v="1"/>
    <n v="4"/>
    <x v="0"/>
    <x v="1"/>
  </r>
  <r>
    <n v="55"/>
    <x v="0"/>
    <x v="0"/>
    <n v="725"/>
    <x v="1"/>
    <n v="2"/>
    <n v="3"/>
    <s v="Medical"/>
    <n v="1"/>
    <n v="787"/>
    <n v="4"/>
    <s v="Male"/>
    <n v="78"/>
    <n v="3"/>
    <n v="5"/>
    <x v="5"/>
    <n v="1"/>
    <x v="1"/>
    <n v="19859"/>
    <n v="21199"/>
    <n v="5"/>
    <s v="Y"/>
    <x v="0"/>
    <n v="13"/>
    <n v="3"/>
    <n v="4"/>
    <n v="80"/>
    <n v="1"/>
    <n v="24"/>
    <n v="2"/>
    <x v="1"/>
    <n v="5"/>
    <n v="2"/>
    <n v="1"/>
    <n v="4"/>
    <x v="2"/>
    <x v="1"/>
  </r>
  <r>
    <n v="36"/>
    <x v="1"/>
    <x v="2"/>
    <n v="1434"/>
    <x v="0"/>
    <n v="8"/>
    <n v="4"/>
    <s v="Life Sciences"/>
    <n v="1"/>
    <n v="789"/>
    <n v="1"/>
    <s v="Male"/>
    <n v="76"/>
    <n v="2"/>
    <n v="3"/>
    <x v="0"/>
    <n v="1"/>
    <x v="0"/>
    <n v="7587"/>
    <n v="14229"/>
    <n v="1"/>
    <s v="Y"/>
    <x v="1"/>
    <n v="15"/>
    <n v="3"/>
    <n v="2"/>
    <n v="80"/>
    <n v="0"/>
    <n v="10"/>
    <n v="1"/>
    <x v="1"/>
    <n v="10"/>
    <n v="7"/>
    <n v="0"/>
    <n v="9"/>
    <x v="0"/>
    <x v="1"/>
  </r>
  <r>
    <n v="52"/>
    <x v="1"/>
    <x v="2"/>
    <n v="715"/>
    <x v="1"/>
    <n v="19"/>
    <n v="4"/>
    <s v="Medical"/>
    <n v="1"/>
    <n v="791"/>
    <n v="4"/>
    <s v="Male"/>
    <n v="41"/>
    <n v="3"/>
    <n v="1"/>
    <x v="1"/>
    <n v="4"/>
    <x v="1"/>
    <n v="4258"/>
    <n v="26589"/>
    <n v="0"/>
    <s v="Y"/>
    <x v="1"/>
    <n v="18"/>
    <n v="3"/>
    <n v="1"/>
    <n v="80"/>
    <n v="1"/>
    <n v="5"/>
    <n v="3"/>
    <x v="1"/>
    <n v="4"/>
    <n v="3"/>
    <n v="1"/>
    <n v="2"/>
    <x v="2"/>
    <x v="1"/>
  </r>
  <r>
    <n v="26"/>
    <x v="1"/>
    <x v="1"/>
    <n v="575"/>
    <x v="1"/>
    <n v="1"/>
    <n v="2"/>
    <s v="Life Sciences"/>
    <n v="1"/>
    <n v="792"/>
    <n v="1"/>
    <s v="Female"/>
    <n v="71"/>
    <n v="1"/>
    <n v="1"/>
    <x v="2"/>
    <n v="4"/>
    <x v="2"/>
    <n v="4364"/>
    <n v="5288"/>
    <n v="3"/>
    <s v="Y"/>
    <x v="1"/>
    <n v="14"/>
    <n v="3"/>
    <n v="1"/>
    <n v="80"/>
    <n v="1"/>
    <n v="5"/>
    <n v="2"/>
    <x v="1"/>
    <n v="2"/>
    <n v="2"/>
    <n v="2"/>
    <n v="0"/>
    <x v="1"/>
    <x v="1"/>
  </r>
  <r>
    <n v="29"/>
    <x v="1"/>
    <x v="0"/>
    <n v="657"/>
    <x v="1"/>
    <n v="27"/>
    <n v="3"/>
    <s v="Medical"/>
    <n v="1"/>
    <n v="793"/>
    <n v="2"/>
    <s v="Female"/>
    <n v="66"/>
    <n v="3"/>
    <n v="2"/>
    <x v="4"/>
    <n v="3"/>
    <x v="1"/>
    <n v="4335"/>
    <n v="25549"/>
    <n v="4"/>
    <s v="Y"/>
    <x v="1"/>
    <n v="12"/>
    <n v="3"/>
    <n v="1"/>
    <n v="80"/>
    <n v="1"/>
    <n v="11"/>
    <n v="3"/>
    <x v="2"/>
    <n v="8"/>
    <n v="7"/>
    <n v="1"/>
    <n v="1"/>
    <x v="1"/>
    <x v="2"/>
  </r>
  <r>
    <n v="26"/>
    <x v="0"/>
    <x v="0"/>
    <n v="1146"/>
    <x v="0"/>
    <n v="8"/>
    <n v="3"/>
    <s v="Technical Degree"/>
    <n v="1"/>
    <n v="796"/>
    <n v="4"/>
    <s v="Male"/>
    <n v="38"/>
    <n v="2"/>
    <n v="2"/>
    <x v="0"/>
    <n v="1"/>
    <x v="0"/>
    <n v="5326"/>
    <n v="3064"/>
    <n v="6"/>
    <s v="Y"/>
    <x v="1"/>
    <n v="17"/>
    <n v="3"/>
    <n v="3"/>
    <n v="80"/>
    <n v="0"/>
    <n v="6"/>
    <n v="2"/>
    <x v="2"/>
    <n v="4"/>
    <n v="3"/>
    <n v="1"/>
    <n v="2"/>
    <x v="1"/>
    <x v="2"/>
  </r>
  <r>
    <n v="34"/>
    <x v="1"/>
    <x v="0"/>
    <n v="182"/>
    <x v="1"/>
    <n v="1"/>
    <n v="4"/>
    <s v="Life Sciences"/>
    <n v="1"/>
    <n v="797"/>
    <n v="2"/>
    <s v="Female"/>
    <n v="72"/>
    <n v="4"/>
    <n v="1"/>
    <x v="1"/>
    <n v="4"/>
    <x v="0"/>
    <n v="3280"/>
    <n v="13551"/>
    <n v="2"/>
    <s v="Y"/>
    <x v="1"/>
    <n v="16"/>
    <n v="3"/>
    <n v="3"/>
    <n v="80"/>
    <n v="0"/>
    <n v="10"/>
    <n v="2"/>
    <x v="1"/>
    <n v="4"/>
    <n v="2"/>
    <n v="1"/>
    <n v="3"/>
    <x v="0"/>
    <x v="1"/>
  </r>
  <r>
    <n v="54"/>
    <x v="1"/>
    <x v="0"/>
    <n v="376"/>
    <x v="1"/>
    <n v="19"/>
    <n v="4"/>
    <s v="Medical"/>
    <n v="1"/>
    <n v="799"/>
    <n v="4"/>
    <s v="Female"/>
    <n v="95"/>
    <n v="3"/>
    <n v="2"/>
    <x v="3"/>
    <n v="1"/>
    <x v="2"/>
    <n v="5485"/>
    <n v="22670"/>
    <n v="9"/>
    <s v="Y"/>
    <x v="0"/>
    <n v="11"/>
    <n v="3"/>
    <n v="2"/>
    <n v="80"/>
    <n v="2"/>
    <n v="9"/>
    <n v="4"/>
    <x v="1"/>
    <n v="5"/>
    <n v="3"/>
    <n v="1"/>
    <n v="4"/>
    <x v="2"/>
    <x v="1"/>
  </r>
  <r>
    <n v="27"/>
    <x v="1"/>
    <x v="1"/>
    <n v="829"/>
    <x v="0"/>
    <n v="8"/>
    <n v="1"/>
    <s v="Marketing"/>
    <n v="1"/>
    <n v="800"/>
    <n v="3"/>
    <s v="Male"/>
    <n v="84"/>
    <n v="3"/>
    <n v="2"/>
    <x v="0"/>
    <n v="4"/>
    <x v="1"/>
    <n v="4342"/>
    <n v="24008"/>
    <n v="0"/>
    <s v="Y"/>
    <x v="1"/>
    <n v="19"/>
    <n v="3"/>
    <n v="2"/>
    <n v="80"/>
    <n v="1"/>
    <n v="5"/>
    <n v="3"/>
    <x v="1"/>
    <n v="4"/>
    <n v="2"/>
    <n v="1"/>
    <n v="1"/>
    <x v="1"/>
    <x v="1"/>
  </r>
  <r>
    <n v="37"/>
    <x v="1"/>
    <x v="0"/>
    <n v="571"/>
    <x v="1"/>
    <n v="10"/>
    <n v="1"/>
    <s v="Life Sciences"/>
    <n v="1"/>
    <n v="802"/>
    <n v="4"/>
    <s v="Female"/>
    <n v="82"/>
    <n v="3"/>
    <n v="1"/>
    <x v="1"/>
    <n v="1"/>
    <x v="2"/>
    <n v="2782"/>
    <n v="19905"/>
    <n v="0"/>
    <s v="Y"/>
    <x v="0"/>
    <n v="13"/>
    <n v="3"/>
    <n v="2"/>
    <n v="80"/>
    <n v="2"/>
    <n v="6"/>
    <n v="3"/>
    <x v="2"/>
    <n v="5"/>
    <n v="3"/>
    <n v="4"/>
    <n v="3"/>
    <x v="0"/>
    <x v="2"/>
  </r>
  <r>
    <n v="38"/>
    <x v="1"/>
    <x v="1"/>
    <n v="240"/>
    <x v="1"/>
    <n v="2"/>
    <n v="4"/>
    <s v="Life Sciences"/>
    <n v="1"/>
    <n v="803"/>
    <n v="1"/>
    <s v="Female"/>
    <n v="75"/>
    <n v="4"/>
    <n v="2"/>
    <x v="3"/>
    <n v="1"/>
    <x v="0"/>
    <n v="5980"/>
    <n v="26085"/>
    <n v="6"/>
    <s v="Y"/>
    <x v="0"/>
    <n v="12"/>
    <n v="3"/>
    <n v="4"/>
    <n v="80"/>
    <n v="0"/>
    <n v="17"/>
    <n v="2"/>
    <x v="1"/>
    <n v="15"/>
    <n v="7"/>
    <n v="4"/>
    <n v="12"/>
    <x v="0"/>
    <x v="1"/>
  </r>
  <r>
    <n v="34"/>
    <x v="1"/>
    <x v="0"/>
    <n v="121"/>
    <x v="1"/>
    <n v="2"/>
    <n v="4"/>
    <s v="Medical"/>
    <n v="1"/>
    <n v="804"/>
    <n v="3"/>
    <s v="Female"/>
    <n v="86"/>
    <n v="2"/>
    <n v="1"/>
    <x v="1"/>
    <n v="1"/>
    <x v="0"/>
    <n v="4381"/>
    <n v="7530"/>
    <n v="1"/>
    <s v="Y"/>
    <x v="1"/>
    <n v="11"/>
    <n v="3"/>
    <n v="3"/>
    <n v="80"/>
    <n v="0"/>
    <n v="6"/>
    <n v="3"/>
    <x v="1"/>
    <n v="6"/>
    <n v="5"/>
    <n v="1"/>
    <n v="3"/>
    <x v="0"/>
    <x v="1"/>
  </r>
  <r>
    <n v="35"/>
    <x v="1"/>
    <x v="0"/>
    <n v="384"/>
    <x v="0"/>
    <n v="8"/>
    <n v="4"/>
    <s v="Life Sciences"/>
    <n v="1"/>
    <n v="805"/>
    <n v="1"/>
    <s v="Female"/>
    <n v="72"/>
    <n v="3"/>
    <n v="1"/>
    <x v="6"/>
    <n v="4"/>
    <x v="1"/>
    <n v="2572"/>
    <n v="20317"/>
    <n v="1"/>
    <s v="Y"/>
    <x v="1"/>
    <n v="16"/>
    <n v="3"/>
    <n v="2"/>
    <n v="80"/>
    <n v="1"/>
    <n v="3"/>
    <n v="1"/>
    <x v="2"/>
    <n v="3"/>
    <n v="2"/>
    <n v="0"/>
    <n v="2"/>
    <x v="0"/>
    <x v="2"/>
  </r>
  <r>
    <n v="30"/>
    <x v="1"/>
    <x v="0"/>
    <n v="921"/>
    <x v="1"/>
    <n v="1"/>
    <n v="3"/>
    <s v="Life Sciences"/>
    <n v="1"/>
    <n v="806"/>
    <n v="4"/>
    <s v="Male"/>
    <n v="38"/>
    <n v="1"/>
    <n v="1"/>
    <x v="2"/>
    <n v="3"/>
    <x v="1"/>
    <n v="3833"/>
    <n v="24375"/>
    <n v="3"/>
    <s v="Y"/>
    <x v="1"/>
    <n v="21"/>
    <n v="4"/>
    <n v="3"/>
    <n v="80"/>
    <n v="2"/>
    <n v="7"/>
    <n v="2"/>
    <x v="1"/>
    <n v="2"/>
    <n v="2"/>
    <n v="0"/>
    <n v="2"/>
    <x v="1"/>
    <x v="1"/>
  </r>
  <r>
    <n v="40"/>
    <x v="1"/>
    <x v="1"/>
    <n v="791"/>
    <x v="1"/>
    <n v="2"/>
    <n v="2"/>
    <s v="Medical"/>
    <n v="1"/>
    <n v="807"/>
    <n v="3"/>
    <s v="Female"/>
    <n v="38"/>
    <n v="4"/>
    <n v="2"/>
    <x v="4"/>
    <n v="2"/>
    <x v="1"/>
    <n v="4244"/>
    <n v="9931"/>
    <n v="1"/>
    <s v="Y"/>
    <x v="1"/>
    <n v="24"/>
    <n v="4"/>
    <n v="4"/>
    <n v="80"/>
    <n v="1"/>
    <n v="8"/>
    <n v="2"/>
    <x v="1"/>
    <n v="8"/>
    <n v="7"/>
    <n v="3"/>
    <n v="7"/>
    <x v="0"/>
    <x v="1"/>
  </r>
  <r>
    <n v="34"/>
    <x v="1"/>
    <x v="0"/>
    <n v="1111"/>
    <x v="0"/>
    <n v="8"/>
    <n v="2"/>
    <s v="Life Sciences"/>
    <n v="1"/>
    <n v="808"/>
    <n v="3"/>
    <s v="Female"/>
    <n v="93"/>
    <n v="3"/>
    <n v="2"/>
    <x v="0"/>
    <n v="1"/>
    <x v="1"/>
    <n v="6500"/>
    <n v="13305"/>
    <n v="5"/>
    <s v="Y"/>
    <x v="1"/>
    <n v="17"/>
    <n v="3"/>
    <n v="2"/>
    <n v="80"/>
    <n v="1"/>
    <n v="6"/>
    <n v="1"/>
    <x v="1"/>
    <n v="3"/>
    <n v="2"/>
    <n v="1"/>
    <n v="2"/>
    <x v="0"/>
    <x v="1"/>
  </r>
  <r>
    <n v="42"/>
    <x v="1"/>
    <x v="1"/>
    <n v="570"/>
    <x v="1"/>
    <n v="8"/>
    <n v="3"/>
    <s v="Life Sciences"/>
    <n v="1"/>
    <n v="809"/>
    <n v="2"/>
    <s v="Male"/>
    <n v="66"/>
    <n v="3"/>
    <n v="5"/>
    <x v="5"/>
    <n v="4"/>
    <x v="2"/>
    <n v="18430"/>
    <n v="16225"/>
    <n v="1"/>
    <s v="Y"/>
    <x v="1"/>
    <n v="13"/>
    <n v="3"/>
    <n v="2"/>
    <n v="80"/>
    <n v="1"/>
    <n v="24"/>
    <n v="4"/>
    <x v="2"/>
    <n v="24"/>
    <n v="7"/>
    <n v="14"/>
    <n v="9"/>
    <x v="0"/>
    <x v="2"/>
  </r>
  <r>
    <n v="23"/>
    <x v="0"/>
    <x v="0"/>
    <n v="1243"/>
    <x v="1"/>
    <n v="6"/>
    <n v="3"/>
    <s v="Life Sciences"/>
    <n v="1"/>
    <n v="811"/>
    <n v="3"/>
    <s v="Male"/>
    <n v="63"/>
    <n v="4"/>
    <n v="1"/>
    <x v="2"/>
    <n v="1"/>
    <x v="1"/>
    <n v="1601"/>
    <n v="3445"/>
    <n v="1"/>
    <s v="Y"/>
    <x v="0"/>
    <n v="21"/>
    <n v="4"/>
    <n v="3"/>
    <n v="80"/>
    <n v="2"/>
    <n v="1"/>
    <n v="2"/>
    <x v="1"/>
    <n v="0"/>
    <n v="0"/>
    <n v="0"/>
    <n v="0"/>
    <x v="1"/>
    <x v="1"/>
  </r>
  <r>
    <n v="24"/>
    <x v="1"/>
    <x v="2"/>
    <n v="1092"/>
    <x v="1"/>
    <n v="9"/>
    <n v="3"/>
    <s v="Life Sciences"/>
    <n v="1"/>
    <n v="812"/>
    <n v="3"/>
    <s v="Male"/>
    <n v="60"/>
    <n v="2"/>
    <n v="1"/>
    <x v="2"/>
    <n v="2"/>
    <x v="2"/>
    <n v="2694"/>
    <n v="26551"/>
    <n v="1"/>
    <s v="Y"/>
    <x v="1"/>
    <n v="11"/>
    <n v="3"/>
    <n v="3"/>
    <n v="80"/>
    <n v="3"/>
    <n v="1"/>
    <n v="4"/>
    <x v="1"/>
    <n v="1"/>
    <n v="0"/>
    <n v="0"/>
    <n v="0"/>
    <x v="1"/>
    <x v="1"/>
  </r>
  <r>
    <n v="52"/>
    <x v="1"/>
    <x v="0"/>
    <n v="1325"/>
    <x v="1"/>
    <n v="11"/>
    <n v="4"/>
    <s v="Life Sciences"/>
    <n v="1"/>
    <n v="813"/>
    <n v="4"/>
    <s v="Female"/>
    <n v="82"/>
    <n v="3"/>
    <n v="2"/>
    <x v="2"/>
    <n v="3"/>
    <x v="1"/>
    <n v="3149"/>
    <n v="21821"/>
    <n v="8"/>
    <s v="Y"/>
    <x v="1"/>
    <n v="20"/>
    <n v="4"/>
    <n v="2"/>
    <n v="80"/>
    <n v="1"/>
    <n v="9"/>
    <n v="3"/>
    <x v="1"/>
    <n v="5"/>
    <n v="2"/>
    <n v="1"/>
    <n v="4"/>
    <x v="2"/>
    <x v="1"/>
  </r>
  <r>
    <n v="50"/>
    <x v="1"/>
    <x v="0"/>
    <n v="691"/>
    <x v="1"/>
    <n v="2"/>
    <n v="3"/>
    <s v="Medical"/>
    <n v="1"/>
    <n v="815"/>
    <n v="3"/>
    <s v="Male"/>
    <n v="64"/>
    <n v="3"/>
    <n v="4"/>
    <x v="7"/>
    <n v="3"/>
    <x v="1"/>
    <n v="17639"/>
    <n v="6881"/>
    <n v="5"/>
    <s v="Y"/>
    <x v="1"/>
    <n v="16"/>
    <n v="3"/>
    <n v="4"/>
    <n v="80"/>
    <n v="0"/>
    <n v="30"/>
    <n v="3"/>
    <x v="1"/>
    <n v="4"/>
    <n v="3"/>
    <n v="0"/>
    <n v="3"/>
    <x v="0"/>
    <x v="1"/>
  </r>
  <r>
    <n v="29"/>
    <x v="0"/>
    <x v="0"/>
    <n v="805"/>
    <x v="1"/>
    <n v="1"/>
    <n v="2"/>
    <s v="Life Sciences"/>
    <n v="1"/>
    <n v="816"/>
    <n v="2"/>
    <s v="Female"/>
    <n v="36"/>
    <n v="2"/>
    <n v="1"/>
    <x v="2"/>
    <n v="1"/>
    <x v="1"/>
    <n v="2319"/>
    <n v="6689"/>
    <n v="1"/>
    <s v="Y"/>
    <x v="0"/>
    <n v="11"/>
    <n v="3"/>
    <n v="4"/>
    <n v="80"/>
    <n v="1"/>
    <n v="1"/>
    <n v="1"/>
    <x v="1"/>
    <n v="1"/>
    <n v="0"/>
    <n v="0"/>
    <n v="0"/>
    <x v="1"/>
    <x v="1"/>
  </r>
  <r>
    <n v="33"/>
    <x v="1"/>
    <x v="0"/>
    <n v="213"/>
    <x v="1"/>
    <n v="7"/>
    <n v="3"/>
    <s v="Medical"/>
    <n v="1"/>
    <n v="817"/>
    <n v="3"/>
    <s v="Male"/>
    <n v="49"/>
    <n v="3"/>
    <n v="3"/>
    <x v="7"/>
    <n v="3"/>
    <x v="1"/>
    <n v="11691"/>
    <n v="25995"/>
    <n v="0"/>
    <s v="Y"/>
    <x v="1"/>
    <n v="11"/>
    <n v="3"/>
    <n v="4"/>
    <n v="80"/>
    <n v="0"/>
    <n v="14"/>
    <n v="3"/>
    <x v="3"/>
    <n v="13"/>
    <n v="9"/>
    <n v="3"/>
    <n v="7"/>
    <x v="0"/>
    <x v="3"/>
  </r>
  <r>
    <n v="33"/>
    <x v="0"/>
    <x v="0"/>
    <n v="118"/>
    <x v="0"/>
    <n v="16"/>
    <n v="3"/>
    <s v="Marketing"/>
    <n v="1"/>
    <n v="819"/>
    <n v="1"/>
    <s v="Female"/>
    <n v="69"/>
    <n v="3"/>
    <n v="2"/>
    <x v="0"/>
    <n v="1"/>
    <x v="0"/>
    <n v="5324"/>
    <n v="26507"/>
    <n v="5"/>
    <s v="Y"/>
    <x v="1"/>
    <n v="15"/>
    <n v="3"/>
    <n v="3"/>
    <n v="80"/>
    <n v="0"/>
    <n v="6"/>
    <n v="3"/>
    <x v="1"/>
    <n v="3"/>
    <n v="2"/>
    <n v="0"/>
    <n v="2"/>
    <x v="0"/>
    <x v="1"/>
  </r>
  <r>
    <n v="47"/>
    <x v="1"/>
    <x v="0"/>
    <n v="202"/>
    <x v="1"/>
    <n v="2"/>
    <n v="2"/>
    <s v="Other"/>
    <n v="1"/>
    <n v="820"/>
    <n v="3"/>
    <s v="Female"/>
    <n v="33"/>
    <n v="3"/>
    <n v="4"/>
    <x v="5"/>
    <n v="4"/>
    <x v="1"/>
    <n v="16752"/>
    <n v="12982"/>
    <n v="1"/>
    <s v="Y"/>
    <x v="0"/>
    <n v="11"/>
    <n v="3"/>
    <n v="3"/>
    <n v="80"/>
    <n v="1"/>
    <n v="26"/>
    <n v="3"/>
    <x v="2"/>
    <n v="26"/>
    <n v="14"/>
    <n v="3"/>
    <n v="0"/>
    <x v="0"/>
    <x v="2"/>
  </r>
  <r>
    <n v="36"/>
    <x v="1"/>
    <x v="0"/>
    <n v="676"/>
    <x v="1"/>
    <n v="1"/>
    <n v="3"/>
    <s v="Other"/>
    <n v="1"/>
    <n v="823"/>
    <n v="3"/>
    <s v="Female"/>
    <n v="35"/>
    <n v="3"/>
    <n v="2"/>
    <x v="3"/>
    <n v="2"/>
    <x v="1"/>
    <n v="5228"/>
    <n v="23361"/>
    <n v="0"/>
    <s v="Y"/>
    <x v="1"/>
    <n v="15"/>
    <n v="3"/>
    <n v="1"/>
    <n v="80"/>
    <n v="1"/>
    <n v="10"/>
    <n v="2"/>
    <x v="1"/>
    <n v="9"/>
    <n v="7"/>
    <n v="0"/>
    <n v="5"/>
    <x v="0"/>
    <x v="1"/>
  </r>
  <r>
    <n v="29"/>
    <x v="1"/>
    <x v="0"/>
    <n v="1252"/>
    <x v="1"/>
    <n v="23"/>
    <n v="2"/>
    <s v="Life Sciences"/>
    <n v="1"/>
    <n v="824"/>
    <n v="3"/>
    <s v="Male"/>
    <n v="81"/>
    <n v="4"/>
    <n v="1"/>
    <x v="1"/>
    <n v="3"/>
    <x v="1"/>
    <n v="2700"/>
    <n v="23779"/>
    <n v="1"/>
    <s v="Y"/>
    <x v="1"/>
    <n v="24"/>
    <n v="4"/>
    <n v="3"/>
    <n v="80"/>
    <n v="1"/>
    <n v="10"/>
    <n v="3"/>
    <x v="1"/>
    <n v="10"/>
    <n v="7"/>
    <n v="0"/>
    <n v="7"/>
    <x v="1"/>
    <x v="1"/>
  </r>
  <r>
    <n v="58"/>
    <x v="0"/>
    <x v="0"/>
    <n v="286"/>
    <x v="1"/>
    <n v="2"/>
    <n v="4"/>
    <s v="Life Sciences"/>
    <n v="1"/>
    <n v="825"/>
    <n v="4"/>
    <s v="Male"/>
    <n v="31"/>
    <n v="3"/>
    <n v="5"/>
    <x v="7"/>
    <n v="2"/>
    <x v="0"/>
    <n v="19246"/>
    <n v="25761"/>
    <n v="7"/>
    <s v="Y"/>
    <x v="0"/>
    <n v="12"/>
    <n v="3"/>
    <n v="4"/>
    <n v="80"/>
    <n v="0"/>
    <n v="40"/>
    <n v="2"/>
    <x v="1"/>
    <n v="31"/>
    <n v="15"/>
    <n v="13"/>
    <n v="8"/>
    <x v="2"/>
    <x v="1"/>
  </r>
  <r>
    <n v="35"/>
    <x v="1"/>
    <x v="0"/>
    <n v="1258"/>
    <x v="1"/>
    <n v="1"/>
    <n v="4"/>
    <s v="Life Sciences"/>
    <n v="1"/>
    <n v="826"/>
    <n v="4"/>
    <s v="Female"/>
    <n v="40"/>
    <n v="4"/>
    <n v="1"/>
    <x v="1"/>
    <n v="3"/>
    <x v="0"/>
    <n v="2506"/>
    <n v="13301"/>
    <n v="3"/>
    <s v="Y"/>
    <x v="1"/>
    <n v="13"/>
    <n v="3"/>
    <n v="3"/>
    <n v="80"/>
    <n v="0"/>
    <n v="7"/>
    <n v="0"/>
    <x v="1"/>
    <n v="2"/>
    <n v="2"/>
    <n v="2"/>
    <n v="2"/>
    <x v="0"/>
    <x v="1"/>
  </r>
  <r>
    <n v="42"/>
    <x v="1"/>
    <x v="0"/>
    <n v="932"/>
    <x v="1"/>
    <n v="1"/>
    <n v="2"/>
    <s v="Life Sciences"/>
    <n v="1"/>
    <n v="827"/>
    <n v="4"/>
    <s v="Female"/>
    <n v="43"/>
    <n v="2"/>
    <n v="2"/>
    <x v="3"/>
    <n v="4"/>
    <x v="1"/>
    <n v="6062"/>
    <n v="4051"/>
    <n v="9"/>
    <s v="Y"/>
    <x v="0"/>
    <n v="13"/>
    <n v="3"/>
    <n v="4"/>
    <n v="80"/>
    <n v="1"/>
    <n v="8"/>
    <n v="4"/>
    <x v="1"/>
    <n v="4"/>
    <n v="3"/>
    <n v="0"/>
    <n v="2"/>
    <x v="0"/>
    <x v="1"/>
  </r>
  <r>
    <n v="28"/>
    <x v="0"/>
    <x v="0"/>
    <n v="890"/>
    <x v="1"/>
    <n v="2"/>
    <n v="4"/>
    <s v="Medical"/>
    <n v="1"/>
    <n v="828"/>
    <n v="3"/>
    <s v="Male"/>
    <n v="46"/>
    <n v="3"/>
    <n v="1"/>
    <x v="1"/>
    <n v="3"/>
    <x v="0"/>
    <n v="4382"/>
    <n v="16374"/>
    <n v="6"/>
    <s v="Y"/>
    <x v="1"/>
    <n v="17"/>
    <n v="3"/>
    <n v="4"/>
    <n v="80"/>
    <n v="0"/>
    <n v="5"/>
    <n v="3"/>
    <x v="2"/>
    <n v="2"/>
    <n v="2"/>
    <n v="2"/>
    <n v="1"/>
    <x v="1"/>
    <x v="2"/>
  </r>
  <r>
    <n v="36"/>
    <x v="1"/>
    <x v="0"/>
    <n v="1041"/>
    <x v="2"/>
    <n v="13"/>
    <n v="3"/>
    <s v="Human Resources"/>
    <n v="1"/>
    <n v="829"/>
    <n v="3"/>
    <s v="Male"/>
    <n v="36"/>
    <n v="3"/>
    <n v="1"/>
    <x v="8"/>
    <n v="2"/>
    <x v="1"/>
    <n v="2143"/>
    <n v="25527"/>
    <n v="4"/>
    <s v="Y"/>
    <x v="1"/>
    <n v="13"/>
    <n v="3"/>
    <n v="2"/>
    <n v="80"/>
    <n v="1"/>
    <n v="8"/>
    <n v="2"/>
    <x v="1"/>
    <n v="5"/>
    <n v="2"/>
    <n v="0"/>
    <n v="4"/>
    <x v="0"/>
    <x v="1"/>
  </r>
  <r>
    <n v="32"/>
    <x v="1"/>
    <x v="0"/>
    <n v="859"/>
    <x v="1"/>
    <n v="4"/>
    <n v="3"/>
    <s v="Life Sciences"/>
    <n v="1"/>
    <n v="830"/>
    <n v="3"/>
    <s v="Female"/>
    <n v="98"/>
    <n v="2"/>
    <n v="2"/>
    <x v="3"/>
    <n v="3"/>
    <x v="1"/>
    <n v="6162"/>
    <n v="19124"/>
    <n v="1"/>
    <s v="Y"/>
    <x v="1"/>
    <n v="12"/>
    <n v="3"/>
    <n v="3"/>
    <n v="80"/>
    <n v="1"/>
    <n v="14"/>
    <n v="3"/>
    <x v="1"/>
    <n v="14"/>
    <n v="13"/>
    <n v="6"/>
    <n v="8"/>
    <x v="0"/>
    <x v="1"/>
  </r>
  <r>
    <n v="40"/>
    <x v="1"/>
    <x v="1"/>
    <n v="720"/>
    <x v="1"/>
    <n v="16"/>
    <n v="4"/>
    <s v="Medical"/>
    <n v="1"/>
    <n v="832"/>
    <n v="1"/>
    <s v="Male"/>
    <n v="51"/>
    <n v="2"/>
    <n v="2"/>
    <x v="2"/>
    <n v="3"/>
    <x v="0"/>
    <n v="5094"/>
    <n v="11983"/>
    <n v="6"/>
    <s v="Y"/>
    <x v="1"/>
    <n v="14"/>
    <n v="3"/>
    <n v="4"/>
    <n v="80"/>
    <n v="0"/>
    <n v="10"/>
    <n v="6"/>
    <x v="1"/>
    <n v="1"/>
    <n v="0"/>
    <n v="0"/>
    <n v="0"/>
    <x v="0"/>
    <x v="1"/>
  </r>
  <r>
    <n v="30"/>
    <x v="1"/>
    <x v="0"/>
    <n v="946"/>
    <x v="1"/>
    <n v="2"/>
    <n v="3"/>
    <s v="Medical"/>
    <n v="1"/>
    <n v="833"/>
    <n v="3"/>
    <s v="Female"/>
    <n v="52"/>
    <n v="2"/>
    <n v="2"/>
    <x v="3"/>
    <n v="4"/>
    <x v="0"/>
    <n v="6877"/>
    <n v="20234"/>
    <n v="5"/>
    <s v="Y"/>
    <x v="0"/>
    <n v="24"/>
    <n v="4"/>
    <n v="2"/>
    <n v="80"/>
    <n v="0"/>
    <n v="12"/>
    <n v="4"/>
    <x v="2"/>
    <n v="0"/>
    <n v="0"/>
    <n v="0"/>
    <n v="0"/>
    <x v="1"/>
    <x v="2"/>
  </r>
  <r>
    <n v="45"/>
    <x v="1"/>
    <x v="0"/>
    <n v="252"/>
    <x v="1"/>
    <n v="2"/>
    <n v="3"/>
    <s v="Life Sciences"/>
    <n v="1"/>
    <n v="834"/>
    <n v="2"/>
    <s v="Female"/>
    <n v="95"/>
    <n v="2"/>
    <n v="1"/>
    <x v="1"/>
    <n v="3"/>
    <x v="0"/>
    <n v="2274"/>
    <n v="6153"/>
    <n v="1"/>
    <s v="Y"/>
    <x v="1"/>
    <n v="14"/>
    <n v="3"/>
    <n v="4"/>
    <n v="80"/>
    <n v="0"/>
    <n v="1"/>
    <n v="3"/>
    <x v="1"/>
    <n v="1"/>
    <n v="0"/>
    <n v="0"/>
    <n v="0"/>
    <x v="0"/>
    <x v="1"/>
  </r>
  <r>
    <n v="42"/>
    <x v="1"/>
    <x v="0"/>
    <n v="933"/>
    <x v="1"/>
    <n v="29"/>
    <n v="3"/>
    <s v="Life Sciences"/>
    <n v="1"/>
    <n v="836"/>
    <n v="2"/>
    <s v="Male"/>
    <n v="98"/>
    <n v="3"/>
    <n v="2"/>
    <x v="3"/>
    <n v="2"/>
    <x v="1"/>
    <n v="4434"/>
    <n v="11806"/>
    <n v="1"/>
    <s v="Y"/>
    <x v="1"/>
    <n v="13"/>
    <n v="3"/>
    <n v="4"/>
    <n v="80"/>
    <n v="1"/>
    <n v="10"/>
    <n v="3"/>
    <x v="2"/>
    <n v="9"/>
    <n v="8"/>
    <n v="7"/>
    <n v="8"/>
    <x v="0"/>
    <x v="2"/>
  </r>
  <r>
    <n v="38"/>
    <x v="1"/>
    <x v="1"/>
    <n v="471"/>
    <x v="1"/>
    <n v="12"/>
    <n v="3"/>
    <s v="Life Sciences"/>
    <n v="1"/>
    <n v="837"/>
    <n v="1"/>
    <s v="Male"/>
    <n v="45"/>
    <n v="2"/>
    <n v="2"/>
    <x v="4"/>
    <n v="1"/>
    <x v="2"/>
    <n v="6288"/>
    <n v="4284"/>
    <n v="2"/>
    <s v="Y"/>
    <x v="1"/>
    <n v="15"/>
    <n v="3"/>
    <n v="3"/>
    <n v="80"/>
    <n v="1"/>
    <n v="13"/>
    <n v="3"/>
    <x v="2"/>
    <n v="4"/>
    <n v="3"/>
    <n v="1"/>
    <n v="2"/>
    <x v="0"/>
    <x v="2"/>
  </r>
  <r>
    <n v="34"/>
    <x v="1"/>
    <x v="1"/>
    <n v="702"/>
    <x v="1"/>
    <n v="16"/>
    <n v="4"/>
    <s v="Life Sciences"/>
    <n v="1"/>
    <n v="838"/>
    <n v="3"/>
    <s v="Female"/>
    <n v="100"/>
    <n v="2"/>
    <n v="1"/>
    <x v="1"/>
    <n v="4"/>
    <x v="0"/>
    <n v="2553"/>
    <n v="8306"/>
    <n v="1"/>
    <s v="Y"/>
    <x v="1"/>
    <n v="16"/>
    <n v="3"/>
    <n v="3"/>
    <n v="80"/>
    <n v="0"/>
    <n v="6"/>
    <n v="3"/>
    <x v="1"/>
    <n v="5"/>
    <n v="2"/>
    <n v="1"/>
    <n v="3"/>
    <x v="0"/>
    <x v="1"/>
  </r>
  <r>
    <n v="49"/>
    <x v="0"/>
    <x v="0"/>
    <n v="1184"/>
    <x v="0"/>
    <n v="11"/>
    <n v="3"/>
    <s v="Marketing"/>
    <n v="1"/>
    <n v="840"/>
    <n v="3"/>
    <s v="Female"/>
    <n v="43"/>
    <n v="3"/>
    <n v="3"/>
    <x v="0"/>
    <n v="4"/>
    <x v="1"/>
    <n v="7654"/>
    <n v="5860"/>
    <n v="1"/>
    <s v="Y"/>
    <x v="1"/>
    <n v="18"/>
    <n v="3"/>
    <n v="1"/>
    <n v="80"/>
    <n v="2"/>
    <n v="9"/>
    <n v="3"/>
    <x v="3"/>
    <n v="9"/>
    <n v="8"/>
    <n v="7"/>
    <n v="7"/>
    <x v="0"/>
    <x v="3"/>
  </r>
  <r>
    <n v="55"/>
    <x v="0"/>
    <x v="0"/>
    <n v="436"/>
    <x v="0"/>
    <n v="2"/>
    <n v="1"/>
    <s v="Medical"/>
    <n v="1"/>
    <n v="842"/>
    <n v="3"/>
    <s v="Male"/>
    <n v="37"/>
    <n v="3"/>
    <n v="2"/>
    <x v="0"/>
    <n v="4"/>
    <x v="0"/>
    <n v="5160"/>
    <n v="21519"/>
    <n v="4"/>
    <s v="Y"/>
    <x v="1"/>
    <n v="16"/>
    <n v="3"/>
    <n v="3"/>
    <n v="80"/>
    <n v="0"/>
    <n v="12"/>
    <n v="3"/>
    <x v="2"/>
    <n v="9"/>
    <n v="7"/>
    <n v="7"/>
    <n v="3"/>
    <x v="2"/>
    <x v="2"/>
  </r>
  <r>
    <n v="43"/>
    <x v="1"/>
    <x v="0"/>
    <n v="589"/>
    <x v="1"/>
    <n v="14"/>
    <n v="2"/>
    <s v="Life Sciences"/>
    <n v="1"/>
    <n v="843"/>
    <n v="2"/>
    <s v="Male"/>
    <n v="94"/>
    <n v="3"/>
    <n v="4"/>
    <x v="7"/>
    <n v="1"/>
    <x v="1"/>
    <n v="17159"/>
    <n v="5200"/>
    <n v="6"/>
    <s v="Y"/>
    <x v="1"/>
    <n v="24"/>
    <n v="4"/>
    <n v="3"/>
    <n v="80"/>
    <n v="1"/>
    <n v="22"/>
    <n v="3"/>
    <x v="1"/>
    <n v="4"/>
    <n v="1"/>
    <n v="1"/>
    <n v="0"/>
    <x v="0"/>
    <x v="1"/>
  </r>
  <r>
    <n v="27"/>
    <x v="1"/>
    <x v="0"/>
    <n v="269"/>
    <x v="1"/>
    <n v="5"/>
    <n v="1"/>
    <s v="Technical Degree"/>
    <n v="1"/>
    <n v="844"/>
    <n v="3"/>
    <s v="Male"/>
    <n v="42"/>
    <n v="2"/>
    <n v="3"/>
    <x v="7"/>
    <n v="4"/>
    <x v="2"/>
    <n v="12808"/>
    <n v="8842"/>
    <n v="1"/>
    <s v="Y"/>
    <x v="0"/>
    <n v="16"/>
    <n v="3"/>
    <n v="2"/>
    <n v="80"/>
    <n v="1"/>
    <n v="9"/>
    <n v="3"/>
    <x v="1"/>
    <n v="9"/>
    <n v="8"/>
    <n v="0"/>
    <n v="8"/>
    <x v="1"/>
    <x v="1"/>
  </r>
  <r>
    <n v="35"/>
    <x v="1"/>
    <x v="0"/>
    <n v="950"/>
    <x v="1"/>
    <n v="7"/>
    <n v="3"/>
    <s v="Other"/>
    <n v="1"/>
    <n v="845"/>
    <n v="3"/>
    <s v="Male"/>
    <n v="59"/>
    <n v="3"/>
    <n v="3"/>
    <x v="3"/>
    <n v="3"/>
    <x v="0"/>
    <n v="10221"/>
    <n v="18869"/>
    <n v="3"/>
    <s v="Y"/>
    <x v="1"/>
    <n v="21"/>
    <n v="4"/>
    <n v="2"/>
    <n v="80"/>
    <n v="0"/>
    <n v="17"/>
    <n v="3"/>
    <x v="3"/>
    <n v="8"/>
    <n v="5"/>
    <n v="1"/>
    <n v="6"/>
    <x v="0"/>
    <x v="3"/>
  </r>
  <r>
    <n v="28"/>
    <x v="1"/>
    <x v="0"/>
    <n v="760"/>
    <x v="0"/>
    <n v="2"/>
    <n v="4"/>
    <s v="Marketing"/>
    <n v="1"/>
    <n v="846"/>
    <n v="2"/>
    <s v="Female"/>
    <n v="81"/>
    <n v="3"/>
    <n v="2"/>
    <x v="0"/>
    <n v="2"/>
    <x v="1"/>
    <n v="4779"/>
    <n v="3698"/>
    <n v="1"/>
    <s v="Y"/>
    <x v="0"/>
    <n v="20"/>
    <n v="4"/>
    <n v="1"/>
    <n v="80"/>
    <n v="0"/>
    <n v="8"/>
    <n v="2"/>
    <x v="1"/>
    <n v="8"/>
    <n v="7"/>
    <n v="7"/>
    <n v="5"/>
    <x v="1"/>
    <x v="1"/>
  </r>
  <r>
    <n v="34"/>
    <x v="1"/>
    <x v="0"/>
    <n v="829"/>
    <x v="2"/>
    <n v="3"/>
    <n v="2"/>
    <s v="Human Resources"/>
    <n v="1"/>
    <n v="847"/>
    <n v="3"/>
    <s v="Male"/>
    <n v="88"/>
    <n v="3"/>
    <n v="1"/>
    <x v="8"/>
    <n v="4"/>
    <x v="1"/>
    <n v="3737"/>
    <n v="2243"/>
    <n v="0"/>
    <s v="Y"/>
    <x v="1"/>
    <n v="19"/>
    <n v="3"/>
    <n v="3"/>
    <n v="80"/>
    <n v="1"/>
    <n v="4"/>
    <n v="1"/>
    <x v="0"/>
    <n v="3"/>
    <n v="2"/>
    <n v="0"/>
    <n v="2"/>
    <x v="0"/>
    <x v="0"/>
  </r>
  <r>
    <n v="26"/>
    <x v="0"/>
    <x v="1"/>
    <n v="887"/>
    <x v="1"/>
    <n v="5"/>
    <n v="2"/>
    <s v="Medical"/>
    <n v="1"/>
    <n v="848"/>
    <n v="3"/>
    <s v="Female"/>
    <n v="88"/>
    <n v="2"/>
    <n v="1"/>
    <x v="1"/>
    <n v="3"/>
    <x v="1"/>
    <n v="2366"/>
    <n v="20898"/>
    <n v="1"/>
    <s v="Y"/>
    <x v="0"/>
    <n v="14"/>
    <n v="3"/>
    <n v="1"/>
    <n v="80"/>
    <n v="1"/>
    <n v="8"/>
    <n v="2"/>
    <x v="1"/>
    <n v="8"/>
    <n v="7"/>
    <n v="1"/>
    <n v="7"/>
    <x v="1"/>
    <x v="1"/>
  </r>
  <r>
    <n v="27"/>
    <x v="1"/>
    <x v="2"/>
    <n v="443"/>
    <x v="1"/>
    <n v="3"/>
    <n v="3"/>
    <s v="Medical"/>
    <n v="1"/>
    <n v="850"/>
    <n v="4"/>
    <s v="Male"/>
    <n v="50"/>
    <n v="3"/>
    <n v="1"/>
    <x v="1"/>
    <n v="4"/>
    <x v="1"/>
    <n v="1706"/>
    <n v="16571"/>
    <n v="1"/>
    <s v="Y"/>
    <x v="1"/>
    <n v="11"/>
    <n v="3"/>
    <n v="3"/>
    <n v="80"/>
    <n v="3"/>
    <n v="0"/>
    <n v="6"/>
    <x v="2"/>
    <n v="0"/>
    <n v="0"/>
    <n v="0"/>
    <n v="0"/>
    <x v="1"/>
    <x v="2"/>
  </r>
  <r>
    <n v="51"/>
    <x v="1"/>
    <x v="0"/>
    <n v="1318"/>
    <x v="0"/>
    <n v="26"/>
    <n v="4"/>
    <s v="Marketing"/>
    <n v="1"/>
    <n v="851"/>
    <n v="1"/>
    <s v="Female"/>
    <n v="66"/>
    <n v="3"/>
    <n v="4"/>
    <x v="5"/>
    <n v="3"/>
    <x v="1"/>
    <n v="16307"/>
    <n v="5594"/>
    <n v="2"/>
    <s v="Y"/>
    <x v="1"/>
    <n v="14"/>
    <n v="3"/>
    <n v="3"/>
    <n v="80"/>
    <n v="1"/>
    <n v="29"/>
    <n v="2"/>
    <x v="2"/>
    <n v="20"/>
    <n v="6"/>
    <n v="4"/>
    <n v="17"/>
    <x v="2"/>
    <x v="2"/>
  </r>
  <r>
    <n v="44"/>
    <x v="1"/>
    <x v="0"/>
    <n v="625"/>
    <x v="1"/>
    <n v="4"/>
    <n v="3"/>
    <s v="Medical"/>
    <n v="1"/>
    <n v="852"/>
    <n v="4"/>
    <s v="Male"/>
    <n v="50"/>
    <n v="3"/>
    <n v="2"/>
    <x v="4"/>
    <n v="2"/>
    <x v="0"/>
    <n v="5933"/>
    <n v="5197"/>
    <n v="9"/>
    <s v="Y"/>
    <x v="1"/>
    <n v="12"/>
    <n v="3"/>
    <n v="4"/>
    <n v="80"/>
    <n v="0"/>
    <n v="10"/>
    <n v="2"/>
    <x v="2"/>
    <n v="5"/>
    <n v="2"/>
    <n v="2"/>
    <n v="3"/>
    <x v="0"/>
    <x v="2"/>
  </r>
  <r>
    <n v="25"/>
    <x v="1"/>
    <x v="0"/>
    <n v="180"/>
    <x v="1"/>
    <n v="2"/>
    <n v="1"/>
    <s v="Medical"/>
    <n v="1"/>
    <n v="854"/>
    <n v="1"/>
    <s v="Male"/>
    <n v="65"/>
    <n v="4"/>
    <n v="1"/>
    <x v="1"/>
    <n v="1"/>
    <x v="0"/>
    <n v="3424"/>
    <n v="21632"/>
    <n v="7"/>
    <s v="Y"/>
    <x v="1"/>
    <n v="13"/>
    <n v="3"/>
    <n v="3"/>
    <n v="80"/>
    <n v="0"/>
    <n v="6"/>
    <n v="3"/>
    <x v="2"/>
    <n v="4"/>
    <n v="3"/>
    <n v="0"/>
    <n v="1"/>
    <x v="1"/>
    <x v="2"/>
  </r>
  <r>
    <n v="33"/>
    <x v="1"/>
    <x v="0"/>
    <n v="586"/>
    <x v="0"/>
    <n v="1"/>
    <n v="3"/>
    <s v="Medical"/>
    <n v="1"/>
    <n v="855"/>
    <n v="1"/>
    <s v="Male"/>
    <n v="48"/>
    <n v="4"/>
    <n v="2"/>
    <x v="0"/>
    <n v="1"/>
    <x v="2"/>
    <n v="4037"/>
    <n v="21816"/>
    <n v="1"/>
    <s v="Y"/>
    <x v="1"/>
    <n v="22"/>
    <n v="4"/>
    <n v="1"/>
    <n v="80"/>
    <n v="1"/>
    <n v="9"/>
    <n v="5"/>
    <x v="1"/>
    <n v="9"/>
    <n v="8"/>
    <n v="0"/>
    <n v="8"/>
    <x v="0"/>
    <x v="1"/>
  </r>
  <r>
    <n v="35"/>
    <x v="1"/>
    <x v="0"/>
    <n v="1343"/>
    <x v="1"/>
    <n v="27"/>
    <n v="1"/>
    <s v="Medical"/>
    <n v="1"/>
    <n v="856"/>
    <n v="3"/>
    <s v="Female"/>
    <n v="53"/>
    <n v="2"/>
    <n v="1"/>
    <x v="1"/>
    <n v="1"/>
    <x v="0"/>
    <n v="2559"/>
    <n v="17852"/>
    <n v="1"/>
    <s v="Y"/>
    <x v="1"/>
    <n v="11"/>
    <n v="3"/>
    <n v="4"/>
    <n v="80"/>
    <n v="0"/>
    <n v="6"/>
    <n v="3"/>
    <x v="2"/>
    <n v="6"/>
    <n v="5"/>
    <n v="1"/>
    <n v="1"/>
    <x v="0"/>
    <x v="2"/>
  </r>
  <r>
    <n v="36"/>
    <x v="1"/>
    <x v="0"/>
    <n v="928"/>
    <x v="0"/>
    <n v="1"/>
    <n v="2"/>
    <s v="Life Sciences"/>
    <n v="1"/>
    <n v="857"/>
    <n v="2"/>
    <s v="Male"/>
    <n v="56"/>
    <n v="3"/>
    <n v="2"/>
    <x v="0"/>
    <n v="4"/>
    <x v="1"/>
    <n v="6201"/>
    <n v="2823"/>
    <n v="1"/>
    <s v="Y"/>
    <x v="0"/>
    <n v="14"/>
    <n v="3"/>
    <n v="4"/>
    <n v="80"/>
    <n v="1"/>
    <n v="18"/>
    <n v="1"/>
    <x v="2"/>
    <n v="18"/>
    <n v="14"/>
    <n v="4"/>
    <n v="11"/>
    <x v="0"/>
    <x v="2"/>
  </r>
  <r>
    <n v="32"/>
    <x v="1"/>
    <x v="0"/>
    <n v="117"/>
    <x v="0"/>
    <n v="13"/>
    <n v="4"/>
    <s v="Life Sciences"/>
    <n v="1"/>
    <n v="859"/>
    <n v="2"/>
    <s v="Male"/>
    <n v="73"/>
    <n v="3"/>
    <n v="2"/>
    <x v="0"/>
    <n v="4"/>
    <x v="2"/>
    <n v="4403"/>
    <n v="9250"/>
    <n v="2"/>
    <s v="Y"/>
    <x v="1"/>
    <n v="11"/>
    <n v="3"/>
    <n v="3"/>
    <n v="80"/>
    <n v="1"/>
    <n v="8"/>
    <n v="3"/>
    <x v="2"/>
    <n v="5"/>
    <n v="2"/>
    <n v="0"/>
    <n v="3"/>
    <x v="0"/>
    <x v="2"/>
  </r>
  <r>
    <n v="30"/>
    <x v="1"/>
    <x v="1"/>
    <n v="1012"/>
    <x v="1"/>
    <n v="5"/>
    <n v="4"/>
    <s v="Life Sciences"/>
    <n v="1"/>
    <n v="861"/>
    <n v="2"/>
    <s v="Male"/>
    <n v="75"/>
    <n v="2"/>
    <n v="1"/>
    <x v="1"/>
    <n v="4"/>
    <x v="2"/>
    <n v="3761"/>
    <n v="2373"/>
    <n v="9"/>
    <s v="Y"/>
    <x v="1"/>
    <n v="12"/>
    <n v="3"/>
    <n v="2"/>
    <n v="80"/>
    <n v="1"/>
    <n v="10"/>
    <n v="3"/>
    <x v="2"/>
    <n v="5"/>
    <n v="4"/>
    <n v="0"/>
    <n v="3"/>
    <x v="1"/>
    <x v="2"/>
  </r>
  <r>
    <n v="53"/>
    <x v="1"/>
    <x v="0"/>
    <n v="661"/>
    <x v="0"/>
    <n v="7"/>
    <n v="2"/>
    <s v="Marketing"/>
    <n v="1"/>
    <n v="862"/>
    <n v="1"/>
    <s v="Female"/>
    <n v="78"/>
    <n v="2"/>
    <n v="3"/>
    <x v="0"/>
    <n v="4"/>
    <x v="1"/>
    <n v="10934"/>
    <n v="20715"/>
    <n v="7"/>
    <s v="Y"/>
    <x v="0"/>
    <n v="18"/>
    <n v="3"/>
    <n v="4"/>
    <n v="80"/>
    <n v="1"/>
    <n v="35"/>
    <n v="3"/>
    <x v="1"/>
    <n v="5"/>
    <n v="2"/>
    <n v="0"/>
    <n v="4"/>
    <x v="2"/>
    <x v="1"/>
  </r>
  <r>
    <n v="45"/>
    <x v="1"/>
    <x v="0"/>
    <n v="930"/>
    <x v="0"/>
    <n v="9"/>
    <n v="3"/>
    <s v="Marketing"/>
    <n v="1"/>
    <n v="864"/>
    <n v="4"/>
    <s v="Male"/>
    <n v="74"/>
    <n v="3"/>
    <n v="3"/>
    <x v="0"/>
    <n v="1"/>
    <x v="2"/>
    <n v="10761"/>
    <n v="19239"/>
    <n v="4"/>
    <s v="Y"/>
    <x v="0"/>
    <n v="12"/>
    <n v="3"/>
    <n v="3"/>
    <n v="80"/>
    <n v="1"/>
    <n v="18"/>
    <n v="2"/>
    <x v="1"/>
    <n v="5"/>
    <n v="4"/>
    <n v="0"/>
    <n v="2"/>
    <x v="0"/>
    <x v="1"/>
  </r>
  <r>
    <n v="32"/>
    <x v="1"/>
    <x v="0"/>
    <n v="638"/>
    <x v="1"/>
    <n v="8"/>
    <n v="2"/>
    <s v="Medical"/>
    <n v="1"/>
    <n v="865"/>
    <n v="3"/>
    <s v="Female"/>
    <n v="91"/>
    <n v="4"/>
    <n v="2"/>
    <x v="1"/>
    <n v="3"/>
    <x v="1"/>
    <n v="5175"/>
    <n v="22162"/>
    <n v="5"/>
    <s v="Y"/>
    <x v="1"/>
    <n v="12"/>
    <n v="3"/>
    <n v="3"/>
    <n v="80"/>
    <n v="1"/>
    <n v="9"/>
    <n v="3"/>
    <x v="2"/>
    <n v="5"/>
    <n v="3"/>
    <n v="1"/>
    <n v="3"/>
    <x v="0"/>
    <x v="2"/>
  </r>
  <r>
    <n v="52"/>
    <x v="1"/>
    <x v="1"/>
    <n v="890"/>
    <x v="1"/>
    <n v="25"/>
    <n v="4"/>
    <s v="Medical"/>
    <n v="1"/>
    <n v="867"/>
    <n v="3"/>
    <s v="Female"/>
    <n v="81"/>
    <n v="2"/>
    <n v="4"/>
    <x v="3"/>
    <n v="4"/>
    <x v="1"/>
    <n v="13826"/>
    <n v="19028"/>
    <n v="3"/>
    <s v="Y"/>
    <x v="1"/>
    <n v="22"/>
    <n v="4"/>
    <n v="3"/>
    <n v="80"/>
    <n v="0"/>
    <n v="31"/>
    <n v="3"/>
    <x v="1"/>
    <n v="9"/>
    <n v="8"/>
    <n v="0"/>
    <n v="0"/>
    <x v="2"/>
    <x v="1"/>
  </r>
  <r>
    <n v="37"/>
    <x v="1"/>
    <x v="0"/>
    <n v="342"/>
    <x v="0"/>
    <n v="16"/>
    <n v="4"/>
    <s v="Marketing"/>
    <n v="1"/>
    <n v="868"/>
    <n v="4"/>
    <s v="Male"/>
    <n v="66"/>
    <n v="2"/>
    <n v="2"/>
    <x v="0"/>
    <n v="3"/>
    <x v="2"/>
    <n v="6334"/>
    <n v="24558"/>
    <n v="4"/>
    <s v="Y"/>
    <x v="1"/>
    <n v="19"/>
    <n v="3"/>
    <n v="4"/>
    <n v="80"/>
    <n v="2"/>
    <n v="9"/>
    <n v="2"/>
    <x v="1"/>
    <n v="1"/>
    <n v="0"/>
    <n v="0"/>
    <n v="0"/>
    <x v="0"/>
    <x v="1"/>
  </r>
  <r>
    <n v="28"/>
    <x v="1"/>
    <x v="0"/>
    <n v="1169"/>
    <x v="2"/>
    <n v="8"/>
    <n v="2"/>
    <s v="Medical"/>
    <n v="1"/>
    <n v="869"/>
    <n v="2"/>
    <s v="Male"/>
    <n v="63"/>
    <n v="2"/>
    <n v="1"/>
    <x v="8"/>
    <n v="4"/>
    <x v="2"/>
    <n v="4936"/>
    <n v="23965"/>
    <n v="1"/>
    <s v="Y"/>
    <x v="1"/>
    <n v="13"/>
    <n v="3"/>
    <n v="4"/>
    <n v="80"/>
    <n v="1"/>
    <n v="6"/>
    <n v="6"/>
    <x v="1"/>
    <n v="5"/>
    <n v="1"/>
    <n v="0"/>
    <n v="4"/>
    <x v="1"/>
    <x v="1"/>
  </r>
  <r>
    <n v="22"/>
    <x v="1"/>
    <x v="0"/>
    <n v="1230"/>
    <x v="1"/>
    <n v="1"/>
    <n v="2"/>
    <s v="Life Sciences"/>
    <n v="1"/>
    <n v="872"/>
    <n v="4"/>
    <s v="Male"/>
    <n v="33"/>
    <n v="2"/>
    <n v="2"/>
    <x v="3"/>
    <n v="4"/>
    <x v="1"/>
    <n v="4775"/>
    <n v="19146"/>
    <n v="6"/>
    <s v="Y"/>
    <x v="1"/>
    <n v="22"/>
    <n v="4"/>
    <n v="1"/>
    <n v="80"/>
    <n v="2"/>
    <n v="4"/>
    <n v="2"/>
    <x v="0"/>
    <n v="2"/>
    <n v="2"/>
    <n v="2"/>
    <n v="2"/>
    <x v="1"/>
    <x v="0"/>
  </r>
  <r>
    <n v="44"/>
    <x v="1"/>
    <x v="0"/>
    <n v="986"/>
    <x v="1"/>
    <n v="8"/>
    <n v="4"/>
    <s v="Life Sciences"/>
    <n v="1"/>
    <n v="874"/>
    <n v="1"/>
    <s v="Male"/>
    <n v="62"/>
    <n v="4"/>
    <n v="1"/>
    <x v="2"/>
    <n v="4"/>
    <x v="1"/>
    <n v="2818"/>
    <n v="5044"/>
    <n v="2"/>
    <s v="Y"/>
    <x v="0"/>
    <n v="24"/>
    <n v="4"/>
    <n v="3"/>
    <n v="80"/>
    <n v="1"/>
    <n v="10"/>
    <n v="2"/>
    <x v="2"/>
    <n v="3"/>
    <n v="2"/>
    <n v="0"/>
    <n v="2"/>
    <x v="0"/>
    <x v="2"/>
  </r>
  <r>
    <n v="42"/>
    <x v="1"/>
    <x v="1"/>
    <n v="1271"/>
    <x v="1"/>
    <n v="2"/>
    <n v="1"/>
    <s v="Medical"/>
    <n v="1"/>
    <n v="875"/>
    <n v="2"/>
    <s v="Male"/>
    <n v="35"/>
    <n v="3"/>
    <n v="1"/>
    <x v="1"/>
    <n v="4"/>
    <x v="0"/>
    <n v="2515"/>
    <n v="9068"/>
    <n v="5"/>
    <s v="Y"/>
    <x v="0"/>
    <n v="14"/>
    <n v="3"/>
    <n v="4"/>
    <n v="80"/>
    <n v="0"/>
    <n v="8"/>
    <n v="2"/>
    <x v="1"/>
    <n v="2"/>
    <n v="1"/>
    <n v="2"/>
    <n v="2"/>
    <x v="0"/>
    <x v="1"/>
  </r>
  <r>
    <n v="36"/>
    <x v="1"/>
    <x v="0"/>
    <n v="1278"/>
    <x v="2"/>
    <n v="8"/>
    <n v="3"/>
    <s v="Life Sciences"/>
    <n v="1"/>
    <n v="878"/>
    <n v="1"/>
    <s v="Male"/>
    <n v="77"/>
    <n v="2"/>
    <n v="1"/>
    <x v="8"/>
    <n v="1"/>
    <x v="1"/>
    <n v="2342"/>
    <n v="8635"/>
    <n v="0"/>
    <s v="Y"/>
    <x v="1"/>
    <n v="21"/>
    <n v="4"/>
    <n v="3"/>
    <n v="80"/>
    <n v="0"/>
    <n v="6"/>
    <n v="3"/>
    <x v="1"/>
    <n v="5"/>
    <n v="4"/>
    <n v="0"/>
    <n v="3"/>
    <x v="0"/>
    <x v="1"/>
  </r>
  <r>
    <n v="25"/>
    <x v="1"/>
    <x v="0"/>
    <n v="141"/>
    <x v="0"/>
    <n v="3"/>
    <n v="1"/>
    <s v="Other"/>
    <n v="1"/>
    <n v="879"/>
    <n v="3"/>
    <s v="Male"/>
    <n v="98"/>
    <n v="3"/>
    <n v="2"/>
    <x v="0"/>
    <n v="1"/>
    <x v="1"/>
    <n v="4194"/>
    <n v="14363"/>
    <n v="1"/>
    <s v="Y"/>
    <x v="0"/>
    <n v="18"/>
    <n v="3"/>
    <n v="4"/>
    <n v="80"/>
    <n v="0"/>
    <n v="5"/>
    <n v="3"/>
    <x v="1"/>
    <n v="5"/>
    <n v="3"/>
    <n v="0"/>
    <n v="3"/>
    <x v="1"/>
    <x v="1"/>
  </r>
  <r>
    <n v="35"/>
    <x v="1"/>
    <x v="0"/>
    <n v="607"/>
    <x v="1"/>
    <n v="9"/>
    <n v="3"/>
    <s v="Life Sciences"/>
    <n v="1"/>
    <n v="880"/>
    <n v="4"/>
    <s v="Female"/>
    <n v="66"/>
    <n v="2"/>
    <n v="3"/>
    <x v="3"/>
    <n v="3"/>
    <x v="1"/>
    <n v="10685"/>
    <n v="23457"/>
    <n v="1"/>
    <s v="Y"/>
    <x v="0"/>
    <n v="20"/>
    <n v="4"/>
    <n v="2"/>
    <n v="80"/>
    <n v="1"/>
    <n v="17"/>
    <n v="2"/>
    <x v="1"/>
    <n v="17"/>
    <n v="14"/>
    <n v="5"/>
    <n v="15"/>
    <x v="0"/>
    <x v="1"/>
  </r>
  <r>
    <n v="35"/>
    <x v="0"/>
    <x v="1"/>
    <n v="130"/>
    <x v="1"/>
    <n v="25"/>
    <n v="4"/>
    <s v="Life Sciences"/>
    <n v="1"/>
    <n v="881"/>
    <n v="4"/>
    <s v="Female"/>
    <n v="96"/>
    <n v="3"/>
    <n v="1"/>
    <x v="1"/>
    <n v="2"/>
    <x v="2"/>
    <n v="2022"/>
    <n v="16612"/>
    <n v="1"/>
    <s v="Y"/>
    <x v="0"/>
    <n v="19"/>
    <n v="3"/>
    <n v="1"/>
    <n v="80"/>
    <n v="1"/>
    <n v="10"/>
    <n v="3"/>
    <x v="2"/>
    <n v="10"/>
    <n v="2"/>
    <n v="7"/>
    <n v="8"/>
    <x v="0"/>
    <x v="2"/>
  </r>
  <r>
    <n v="32"/>
    <x v="1"/>
    <x v="2"/>
    <n v="300"/>
    <x v="1"/>
    <n v="1"/>
    <n v="3"/>
    <s v="Life Sciences"/>
    <n v="1"/>
    <n v="882"/>
    <n v="4"/>
    <s v="Male"/>
    <n v="61"/>
    <n v="3"/>
    <n v="1"/>
    <x v="2"/>
    <n v="4"/>
    <x v="2"/>
    <n v="2314"/>
    <n v="9148"/>
    <n v="0"/>
    <s v="Y"/>
    <x v="1"/>
    <n v="12"/>
    <n v="3"/>
    <n v="2"/>
    <n v="80"/>
    <n v="1"/>
    <n v="4"/>
    <n v="2"/>
    <x v="1"/>
    <n v="3"/>
    <n v="0"/>
    <n v="0"/>
    <n v="2"/>
    <x v="0"/>
    <x v="1"/>
  </r>
  <r>
    <n v="25"/>
    <x v="1"/>
    <x v="0"/>
    <n v="583"/>
    <x v="0"/>
    <n v="4"/>
    <n v="1"/>
    <s v="Marketing"/>
    <n v="1"/>
    <n v="885"/>
    <n v="3"/>
    <s v="Male"/>
    <n v="87"/>
    <n v="2"/>
    <n v="2"/>
    <x v="0"/>
    <n v="1"/>
    <x v="1"/>
    <n v="4256"/>
    <n v="18154"/>
    <n v="1"/>
    <s v="Y"/>
    <x v="1"/>
    <n v="12"/>
    <n v="3"/>
    <n v="1"/>
    <n v="80"/>
    <n v="0"/>
    <n v="5"/>
    <n v="1"/>
    <x v="3"/>
    <n v="5"/>
    <n v="2"/>
    <n v="0"/>
    <n v="3"/>
    <x v="1"/>
    <x v="3"/>
  </r>
  <r>
    <n v="49"/>
    <x v="1"/>
    <x v="0"/>
    <n v="1418"/>
    <x v="1"/>
    <n v="1"/>
    <n v="3"/>
    <s v="Technical Degree"/>
    <n v="1"/>
    <n v="887"/>
    <n v="3"/>
    <s v="Female"/>
    <n v="36"/>
    <n v="3"/>
    <n v="1"/>
    <x v="1"/>
    <n v="1"/>
    <x v="1"/>
    <n v="3580"/>
    <n v="10554"/>
    <n v="2"/>
    <s v="Y"/>
    <x v="1"/>
    <n v="16"/>
    <n v="3"/>
    <n v="2"/>
    <n v="80"/>
    <n v="1"/>
    <n v="7"/>
    <n v="2"/>
    <x v="1"/>
    <n v="4"/>
    <n v="2"/>
    <n v="0"/>
    <n v="2"/>
    <x v="0"/>
    <x v="1"/>
  </r>
  <r>
    <n v="24"/>
    <x v="1"/>
    <x v="2"/>
    <n v="1269"/>
    <x v="1"/>
    <n v="4"/>
    <n v="1"/>
    <s v="Life Sciences"/>
    <n v="1"/>
    <n v="888"/>
    <n v="1"/>
    <s v="Male"/>
    <n v="46"/>
    <n v="2"/>
    <n v="1"/>
    <x v="2"/>
    <n v="4"/>
    <x v="1"/>
    <n v="3162"/>
    <n v="10778"/>
    <n v="0"/>
    <s v="Y"/>
    <x v="1"/>
    <n v="17"/>
    <n v="3"/>
    <n v="4"/>
    <n v="80"/>
    <n v="0"/>
    <n v="6"/>
    <n v="2"/>
    <x v="2"/>
    <n v="5"/>
    <n v="2"/>
    <n v="3"/>
    <n v="4"/>
    <x v="1"/>
    <x v="2"/>
  </r>
  <r>
    <n v="32"/>
    <x v="1"/>
    <x v="1"/>
    <n v="379"/>
    <x v="0"/>
    <n v="5"/>
    <n v="2"/>
    <s v="Life Sciences"/>
    <n v="1"/>
    <n v="889"/>
    <n v="2"/>
    <s v="Male"/>
    <n v="48"/>
    <n v="3"/>
    <n v="2"/>
    <x v="0"/>
    <n v="2"/>
    <x v="1"/>
    <n v="6524"/>
    <n v="8891"/>
    <n v="1"/>
    <s v="Y"/>
    <x v="1"/>
    <n v="14"/>
    <n v="3"/>
    <n v="4"/>
    <n v="80"/>
    <n v="1"/>
    <n v="10"/>
    <n v="3"/>
    <x v="1"/>
    <n v="10"/>
    <n v="8"/>
    <n v="5"/>
    <n v="3"/>
    <x v="0"/>
    <x v="1"/>
  </r>
  <r>
    <n v="38"/>
    <x v="1"/>
    <x v="0"/>
    <n v="395"/>
    <x v="0"/>
    <n v="9"/>
    <n v="3"/>
    <s v="Marketing"/>
    <n v="1"/>
    <n v="893"/>
    <n v="2"/>
    <s v="Male"/>
    <n v="98"/>
    <n v="2"/>
    <n v="1"/>
    <x v="6"/>
    <n v="2"/>
    <x v="1"/>
    <n v="2899"/>
    <n v="12102"/>
    <n v="0"/>
    <s v="Y"/>
    <x v="1"/>
    <n v="19"/>
    <n v="3"/>
    <n v="4"/>
    <n v="80"/>
    <n v="1"/>
    <n v="3"/>
    <n v="3"/>
    <x v="1"/>
    <n v="2"/>
    <n v="2"/>
    <n v="1"/>
    <n v="2"/>
    <x v="0"/>
    <x v="1"/>
  </r>
  <r>
    <n v="42"/>
    <x v="1"/>
    <x v="0"/>
    <n v="1265"/>
    <x v="1"/>
    <n v="3"/>
    <n v="3"/>
    <s v="Life Sciences"/>
    <n v="1"/>
    <n v="894"/>
    <n v="3"/>
    <s v="Female"/>
    <n v="95"/>
    <n v="4"/>
    <n v="2"/>
    <x v="2"/>
    <n v="4"/>
    <x v="1"/>
    <n v="5231"/>
    <n v="23726"/>
    <n v="2"/>
    <s v="Y"/>
    <x v="0"/>
    <n v="13"/>
    <n v="3"/>
    <n v="2"/>
    <n v="80"/>
    <n v="1"/>
    <n v="17"/>
    <n v="1"/>
    <x v="2"/>
    <n v="5"/>
    <n v="3"/>
    <n v="1"/>
    <n v="3"/>
    <x v="0"/>
    <x v="2"/>
  </r>
  <r>
    <n v="31"/>
    <x v="1"/>
    <x v="0"/>
    <n v="1222"/>
    <x v="1"/>
    <n v="11"/>
    <n v="4"/>
    <s v="Life Sciences"/>
    <n v="1"/>
    <n v="895"/>
    <n v="4"/>
    <s v="Male"/>
    <n v="48"/>
    <n v="3"/>
    <n v="1"/>
    <x v="1"/>
    <n v="4"/>
    <x v="1"/>
    <n v="2356"/>
    <n v="14871"/>
    <n v="3"/>
    <s v="Y"/>
    <x v="0"/>
    <n v="19"/>
    <n v="3"/>
    <n v="2"/>
    <n v="80"/>
    <n v="1"/>
    <n v="8"/>
    <n v="2"/>
    <x v="1"/>
    <n v="6"/>
    <n v="4"/>
    <n v="0"/>
    <n v="2"/>
    <x v="0"/>
    <x v="1"/>
  </r>
  <r>
    <n v="29"/>
    <x v="0"/>
    <x v="0"/>
    <n v="341"/>
    <x v="0"/>
    <n v="1"/>
    <n v="3"/>
    <s v="Medical"/>
    <n v="1"/>
    <n v="896"/>
    <n v="2"/>
    <s v="Female"/>
    <n v="48"/>
    <n v="2"/>
    <n v="1"/>
    <x v="6"/>
    <n v="3"/>
    <x v="2"/>
    <n v="2800"/>
    <n v="23522"/>
    <n v="6"/>
    <s v="Y"/>
    <x v="0"/>
    <n v="19"/>
    <n v="3"/>
    <n v="3"/>
    <n v="80"/>
    <n v="3"/>
    <n v="5"/>
    <n v="3"/>
    <x v="1"/>
    <n v="3"/>
    <n v="2"/>
    <n v="0"/>
    <n v="2"/>
    <x v="1"/>
    <x v="1"/>
  </r>
  <r>
    <n v="53"/>
    <x v="1"/>
    <x v="0"/>
    <n v="868"/>
    <x v="0"/>
    <n v="8"/>
    <n v="3"/>
    <s v="Marketing"/>
    <n v="1"/>
    <n v="897"/>
    <n v="1"/>
    <s v="Male"/>
    <n v="73"/>
    <n v="3"/>
    <n v="4"/>
    <x v="0"/>
    <n v="4"/>
    <x v="1"/>
    <n v="11836"/>
    <n v="22789"/>
    <n v="5"/>
    <s v="Y"/>
    <x v="1"/>
    <n v="14"/>
    <n v="3"/>
    <n v="3"/>
    <n v="80"/>
    <n v="1"/>
    <n v="28"/>
    <n v="3"/>
    <x v="1"/>
    <n v="2"/>
    <n v="0"/>
    <n v="2"/>
    <n v="2"/>
    <x v="2"/>
    <x v="1"/>
  </r>
  <r>
    <n v="35"/>
    <x v="1"/>
    <x v="0"/>
    <n v="672"/>
    <x v="1"/>
    <n v="25"/>
    <n v="3"/>
    <s v="Technical Degree"/>
    <n v="1"/>
    <n v="899"/>
    <n v="4"/>
    <s v="Male"/>
    <n v="78"/>
    <n v="2"/>
    <n v="3"/>
    <x v="3"/>
    <n v="2"/>
    <x v="1"/>
    <n v="10903"/>
    <n v="9129"/>
    <n v="3"/>
    <s v="Y"/>
    <x v="1"/>
    <n v="16"/>
    <n v="3"/>
    <n v="1"/>
    <n v="80"/>
    <n v="0"/>
    <n v="16"/>
    <n v="2"/>
    <x v="1"/>
    <n v="13"/>
    <n v="10"/>
    <n v="4"/>
    <n v="8"/>
    <x v="0"/>
    <x v="1"/>
  </r>
  <r>
    <n v="37"/>
    <x v="1"/>
    <x v="1"/>
    <n v="1231"/>
    <x v="0"/>
    <n v="21"/>
    <n v="2"/>
    <s v="Medical"/>
    <n v="1"/>
    <n v="900"/>
    <n v="3"/>
    <s v="Female"/>
    <n v="54"/>
    <n v="3"/>
    <n v="1"/>
    <x v="6"/>
    <n v="4"/>
    <x v="1"/>
    <n v="2973"/>
    <n v="21222"/>
    <n v="5"/>
    <s v="Y"/>
    <x v="1"/>
    <n v="15"/>
    <n v="3"/>
    <n v="2"/>
    <n v="80"/>
    <n v="1"/>
    <n v="10"/>
    <n v="3"/>
    <x v="1"/>
    <n v="5"/>
    <n v="4"/>
    <n v="0"/>
    <n v="0"/>
    <x v="0"/>
    <x v="1"/>
  </r>
  <r>
    <n v="53"/>
    <x v="1"/>
    <x v="0"/>
    <n v="102"/>
    <x v="1"/>
    <n v="23"/>
    <n v="4"/>
    <s v="Life Sciences"/>
    <n v="1"/>
    <n v="901"/>
    <n v="4"/>
    <s v="Female"/>
    <n v="72"/>
    <n v="3"/>
    <n v="4"/>
    <x v="7"/>
    <n v="4"/>
    <x v="0"/>
    <n v="14275"/>
    <n v="20206"/>
    <n v="6"/>
    <s v="Y"/>
    <x v="1"/>
    <n v="18"/>
    <n v="3"/>
    <n v="3"/>
    <n v="80"/>
    <n v="0"/>
    <n v="33"/>
    <n v="0"/>
    <x v="1"/>
    <n v="12"/>
    <n v="9"/>
    <n v="3"/>
    <n v="8"/>
    <x v="2"/>
    <x v="1"/>
  </r>
  <r>
    <n v="43"/>
    <x v="1"/>
    <x v="1"/>
    <n v="422"/>
    <x v="1"/>
    <n v="1"/>
    <n v="3"/>
    <s v="Life Sciences"/>
    <n v="1"/>
    <n v="902"/>
    <n v="4"/>
    <s v="Female"/>
    <n v="33"/>
    <n v="3"/>
    <n v="2"/>
    <x v="4"/>
    <n v="4"/>
    <x v="1"/>
    <n v="5562"/>
    <n v="21782"/>
    <n v="4"/>
    <s v="Y"/>
    <x v="1"/>
    <n v="13"/>
    <n v="3"/>
    <n v="2"/>
    <n v="80"/>
    <n v="1"/>
    <n v="12"/>
    <n v="2"/>
    <x v="2"/>
    <n v="5"/>
    <n v="2"/>
    <n v="2"/>
    <n v="2"/>
    <x v="0"/>
    <x v="2"/>
  </r>
  <r>
    <n v="47"/>
    <x v="1"/>
    <x v="0"/>
    <n v="249"/>
    <x v="0"/>
    <n v="2"/>
    <n v="2"/>
    <s v="Marketing"/>
    <n v="1"/>
    <n v="903"/>
    <n v="3"/>
    <s v="Female"/>
    <n v="35"/>
    <n v="3"/>
    <n v="2"/>
    <x v="0"/>
    <n v="4"/>
    <x v="1"/>
    <n v="4537"/>
    <n v="17783"/>
    <n v="0"/>
    <s v="Y"/>
    <x v="0"/>
    <n v="22"/>
    <n v="4"/>
    <n v="1"/>
    <n v="80"/>
    <n v="1"/>
    <n v="8"/>
    <n v="2"/>
    <x v="1"/>
    <n v="7"/>
    <n v="6"/>
    <n v="7"/>
    <n v="7"/>
    <x v="0"/>
    <x v="1"/>
  </r>
  <r>
    <n v="37"/>
    <x v="1"/>
    <x v="2"/>
    <n v="1252"/>
    <x v="0"/>
    <n v="19"/>
    <n v="2"/>
    <s v="Medical"/>
    <n v="1"/>
    <n v="904"/>
    <n v="1"/>
    <s v="Male"/>
    <n v="32"/>
    <n v="3"/>
    <n v="3"/>
    <x v="0"/>
    <n v="2"/>
    <x v="0"/>
    <n v="7642"/>
    <n v="4814"/>
    <n v="1"/>
    <s v="Y"/>
    <x v="0"/>
    <n v="13"/>
    <n v="3"/>
    <n v="4"/>
    <n v="80"/>
    <n v="0"/>
    <n v="10"/>
    <n v="2"/>
    <x v="1"/>
    <n v="10"/>
    <n v="0"/>
    <n v="0"/>
    <n v="9"/>
    <x v="0"/>
    <x v="1"/>
  </r>
  <r>
    <n v="50"/>
    <x v="1"/>
    <x v="2"/>
    <n v="881"/>
    <x v="1"/>
    <n v="2"/>
    <n v="4"/>
    <s v="Life Sciences"/>
    <n v="1"/>
    <n v="905"/>
    <n v="1"/>
    <s v="Male"/>
    <n v="98"/>
    <n v="3"/>
    <n v="4"/>
    <x v="5"/>
    <n v="1"/>
    <x v="2"/>
    <n v="17924"/>
    <n v="4544"/>
    <n v="1"/>
    <s v="Y"/>
    <x v="1"/>
    <n v="11"/>
    <n v="3"/>
    <n v="4"/>
    <n v="80"/>
    <n v="1"/>
    <n v="31"/>
    <n v="3"/>
    <x v="1"/>
    <n v="31"/>
    <n v="6"/>
    <n v="14"/>
    <n v="7"/>
    <x v="0"/>
    <x v="1"/>
  </r>
  <r>
    <n v="39"/>
    <x v="1"/>
    <x v="0"/>
    <n v="1383"/>
    <x v="2"/>
    <n v="2"/>
    <n v="3"/>
    <s v="Life Sciences"/>
    <n v="1"/>
    <n v="909"/>
    <n v="4"/>
    <s v="Female"/>
    <n v="42"/>
    <n v="2"/>
    <n v="2"/>
    <x v="8"/>
    <n v="4"/>
    <x v="1"/>
    <n v="5204"/>
    <n v="7790"/>
    <n v="8"/>
    <s v="Y"/>
    <x v="1"/>
    <n v="11"/>
    <n v="3"/>
    <n v="3"/>
    <n v="80"/>
    <n v="2"/>
    <n v="13"/>
    <n v="2"/>
    <x v="1"/>
    <n v="5"/>
    <n v="4"/>
    <n v="0"/>
    <n v="4"/>
    <x v="0"/>
    <x v="1"/>
  </r>
  <r>
    <n v="33"/>
    <x v="1"/>
    <x v="0"/>
    <n v="1075"/>
    <x v="2"/>
    <n v="3"/>
    <n v="2"/>
    <s v="Human Resources"/>
    <n v="1"/>
    <n v="910"/>
    <n v="4"/>
    <s v="Male"/>
    <n v="57"/>
    <n v="3"/>
    <n v="1"/>
    <x v="8"/>
    <n v="2"/>
    <x v="2"/>
    <n v="2277"/>
    <n v="22650"/>
    <n v="3"/>
    <s v="Y"/>
    <x v="0"/>
    <n v="11"/>
    <n v="3"/>
    <n v="3"/>
    <n v="80"/>
    <n v="1"/>
    <n v="7"/>
    <n v="4"/>
    <x v="3"/>
    <n v="4"/>
    <n v="3"/>
    <n v="0"/>
    <n v="3"/>
    <x v="0"/>
    <x v="3"/>
  </r>
  <r>
    <n v="32"/>
    <x v="0"/>
    <x v="0"/>
    <n v="374"/>
    <x v="1"/>
    <n v="25"/>
    <n v="4"/>
    <s v="Life Sciences"/>
    <n v="1"/>
    <n v="911"/>
    <n v="1"/>
    <s v="Male"/>
    <n v="87"/>
    <n v="3"/>
    <n v="1"/>
    <x v="2"/>
    <n v="4"/>
    <x v="0"/>
    <n v="2795"/>
    <n v="18016"/>
    <n v="1"/>
    <s v="Y"/>
    <x v="0"/>
    <n v="24"/>
    <n v="4"/>
    <n v="3"/>
    <n v="80"/>
    <n v="0"/>
    <n v="1"/>
    <n v="2"/>
    <x v="0"/>
    <n v="1"/>
    <n v="0"/>
    <n v="0"/>
    <n v="1"/>
    <x v="0"/>
    <x v="0"/>
  </r>
  <r>
    <n v="29"/>
    <x v="1"/>
    <x v="0"/>
    <n v="1086"/>
    <x v="1"/>
    <n v="7"/>
    <n v="1"/>
    <s v="Medical"/>
    <n v="1"/>
    <n v="912"/>
    <n v="1"/>
    <s v="Female"/>
    <n v="62"/>
    <n v="2"/>
    <n v="1"/>
    <x v="2"/>
    <n v="4"/>
    <x v="2"/>
    <n v="2532"/>
    <n v="6054"/>
    <n v="6"/>
    <s v="Y"/>
    <x v="1"/>
    <n v="14"/>
    <n v="3"/>
    <n v="3"/>
    <n v="80"/>
    <n v="3"/>
    <n v="8"/>
    <n v="5"/>
    <x v="1"/>
    <n v="4"/>
    <n v="3"/>
    <n v="0"/>
    <n v="3"/>
    <x v="1"/>
    <x v="1"/>
  </r>
  <r>
    <n v="44"/>
    <x v="1"/>
    <x v="0"/>
    <n v="661"/>
    <x v="1"/>
    <n v="9"/>
    <n v="2"/>
    <s v="Life Sciences"/>
    <n v="1"/>
    <n v="913"/>
    <n v="2"/>
    <s v="Male"/>
    <n v="61"/>
    <n v="3"/>
    <n v="1"/>
    <x v="1"/>
    <n v="1"/>
    <x v="1"/>
    <n v="2559"/>
    <n v="7508"/>
    <n v="1"/>
    <s v="Y"/>
    <x v="0"/>
    <n v="13"/>
    <n v="3"/>
    <n v="4"/>
    <n v="80"/>
    <n v="0"/>
    <n v="8"/>
    <n v="0"/>
    <x v="1"/>
    <n v="8"/>
    <n v="7"/>
    <n v="7"/>
    <n v="1"/>
    <x v="0"/>
    <x v="1"/>
  </r>
  <r>
    <n v="28"/>
    <x v="1"/>
    <x v="0"/>
    <n v="821"/>
    <x v="0"/>
    <n v="5"/>
    <n v="4"/>
    <s v="Medical"/>
    <n v="1"/>
    <n v="916"/>
    <n v="1"/>
    <s v="Male"/>
    <n v="98"/>
    <n v="3"/>
    <n v="2"/>
    <x v="0"/>
    <n v="4"/>
    <x v="0"/>
    <n v="4908"/>
    <n v="24252"/>
    <n v="1"/>
    <s v="Y"/>
    <x v="1"/>
    <n v="14"/>
    <n v="3"/>
    <n v="2"/>
    <n v="80"/>
    <n v="0"/>
    <n v="4"/>
    <n v="3"/>
    <x v="1"/>
    <n v="4"/>
    <n v="2"/>
    <n v="0"/>
    <n v="2"/>
    <x v="1"/>
    <x v="1"/>
  </r>
  <r>
    <n v="58"/>
    <x v="0"/>
    <x v="1"/>
    <n v="781"/>
    <x v="1"/>
    <n v="2"/>
    <n v="1"/>
    <s v="Life Sciences"/>
    <n v="1"/>
    <n v="918"/>
    <n v="4"/>
    <s v="Male"/>
    <n v="57"/>
    <n v="2"/>
    <n v="1"/>
    <x v="2"/>
    <n v="4"/>
    <x v="2"/>
    <n v="2380"/>
    <n v="13384"/>
    <n v="9"/>
    <s v="Y"/>
    <x v="0"/>
    <n v="14"/>
    <n v="3"/>
    <n v="4"/>
    <n v="80"/>
    <n v="1"/>
    <n v="3"/>
    <n v="3"/>
    <x v="2"/>
    <n v="1"/>
    <n v="0"/>
    <n v="0"/>
    <n v="0"/>
    <x v="2"/>
    <x v="2"/>
  </r>
  <r>
    <n v="43"/>
    <x v="1"/>
    <x v="0"/>
    <n v="177"/>
    <x v="1"/>
    <n v="8"/>
    <n v="3"/>
    <s v="Life Sciences"/>
    <n v="1"/>
    <n v="920"/>
    <n v="1"/>
    <s v="Female"/>
    <n v="55"/>
    <n v="3"/>
    <n v="2"/>
    <x v="3"/>
    <n v="2"/>
    <x v="2"/>
    <n v="4765"/>
    <n v="23814"/>
    <n v="4"/>
    <s v="Y"/>
    <x v="1"/>
    <n v="21"/>
    <n v="4"/>
    <n v="3"/>
    <n v="80"/>
    <n v="1"/>
    <n v="4"/>
    <n v="2"/>
    <x v="3"/>
    <n v="1"/>
    <n v="0"/>
    <n v="0"/>
    <n v="0"/>
    <x v="0"/>
    <x v="3"/>
  </r>
  <r>
    <n v="20"/>
    <x v="0"/>
    <x v="0"/>
    <n v="500"/>
    <x v="0"/>
    <n v="2"/>
    <n v="3"/>
    <s v="Medical"/>
    <n v="1"/>
    <n v="922"/>
    <n v="3"/>
    <s v="Female"/>
    <n v="49"/>
    <n v="2"/>
    <n v="1"/>
    <x v="6"/>
    <n v="3"/>
    <x v="0"/>
    <n v="2044"/>
    <n v="22052"/>
    <n v="1"/>
    <s v="Y"/>
    <x v="1"/>
    <n v="13"/>
    <n v="3"/>
    <n v="4"/>
    <n v="80"/>
    <n v="0"/>
    <n v="2"/>
    <n v="3"/>
    <x v="2"/>
    <n v="2"/>
    <n v="2"/>
    <n v="0"/>
    <n v="2"/>
    <x v="1"/>
    <x v="2"/>
  </r>
  <r>
    <n v="21"/>
    <x v="0"/>
    <x v="0"/>
    <n v="1427"/>
    <x v="1"/>
    <n v="18"/>
    <n v="1"/>
    <s v="Other"/>
    <n v="1"/>
    <n v="923"/>
    <n v="4"/>
    <s v="Female"/>
    <n v="65"/>
    <n v="3"/>
    <n v="1"/>
    <x v="1"/>
    <n v="4"/>
    <x v="0"/>
    <n v="2693"/>
    <n v="8870"/>
    <n v="1"/>
    <s v="Y"/>
    <x v="1"/>
    <n v="19"/>
    <n v="3"/>
    <n v="1"/>
    <n v="80"/>
    <n v="0"/>
    <n v="1"/>
    <n v="3"/>
    <x v="2"/>
    <n v="1"/>
    <n v="0"/>
    <n v="0"/>
    <n v="0"/>
    <x v="1"/>
    <x v="2"/>
  </r>
  <r>
    <n v="36"/>
    <x v="1"/>
    <x v="0"/>
    <n v="1425"/>
    <x v="1"/>
    <n v="14"/>
    <n v="1"/>
    <s v="Life Sciences"/>
    <n v="1"/>
    <n v="924"/>
    <n v="3"/>
    <s v="Male"/>
    <n v="68"/>
    <n v="3"/>
    <n v="2"/>
    <x v="4"/>
    <n v="4"/>
    <x v="1"/>
    <n v="6586"/>
    <n v="4821"/>
    <n v="0"/>
    <s v="Y"/>
    <x v="0"/>
    <n v="17"/>
    <n v="3"/>
    <n v="1"/>
    <n v="80"/>
    <n v="1"/>
    <n v="17"/>
    <n v="2"/>
    <x v="2"/>
    <n v="16"/>
    <n v="8"/>
    <n v="4"/>
    <n v="11"/>
    <x v="0"/>
    <x v="2"/>
  </r>
  <r>
    <n v="47"/>
    <x v="1"/>
    <x v="0"/>
    <n v="1454"/>
    <x v="0"/>
    <n v="2"/>
    <n v="4"/>
    <s v="Life Sciences"/>
    <n v="1"/>
    <n v="925"/>
    <n v="4"/>
    <s v="Female"/>
    <n v="65"/>
    <n v="2"/>
    <n v="1"/>
    <x v="6"/>
    <n v="4"/>
    <x v="0"/>
    <n v="3294"/>
    <n v="13137"/>
    <n v="1"/>
    <s v="Y"/>
    <x v="0"/>
    <n v="18"/>
    <n v="3"/>
    <n v="1"/>
    <n v="80"/>
    <n v="0"/>
    <n v="3"/>
    <n v="3"/>
    <x v="2"/>
    <n v="3"/>
    <n v="2"/>
    <n v="1"/>
    <n v="2"/>
    <x v="0"/>
    <x v="2"/>
  </r>
  <r>
    <n v="22"/>
    <x v="0"/>
    <x v="0"/>
    <n v="617"/>
    <x v="1"/>
    <n v="3"/>
    <n v="1"/>
    <s v="Life Sciences"/>
    <n v="1"/>
    <n v="926"/>
    <n v="2"/>
    <s v="Female"/>
    <n v="34"/>
    <n v="3"/>
    <n v="2"/>
    <x v="3"/>
    <n v="3"/>
    <x v="1"/>
    <n v="4171"/>
    <n v="10022"/>
    <n v="0"/>
    <s v="Y"/>
    <x v="0"/>
    <n v="19"/>
    <n v="3"/>
    <n v="1"/>
    <n v="80"/>
    <n v="1"/>
    <n v="4"/>
    <n v="3"/>
    <x v="3"/>
    <n v="3"/>
    <n v="2"/>
    <n v="0"/>
    <n v="2"/>
    <x v="1"/>
    <x v="3"/>
  </r>
  <r>
    <n v="41"/>
    <x v="0"/>
    <x v="0"/>
    <n v="1085"/>
    <x v="1"/>
    <n v="2"/>
    <n v="4"/>
    <s v="Life Sciences"/>
    <n v="1"/>
    <n v="927"/>
    <n v="2"/>
    <s v="Female"/>
    <n v="57"/>
    <n v="1"/>
    <n v="1"/>
    <x v="2"/>
    <n v="4"/>
    <x v="2"/>
    <n v="2778"/>
    <n v="17725"/>
    <n v="4"/>
    <s v="Y"/>
    <x v="0"/>
    <n v="13"/>
    <n v="3"/>
    <n v="3"/>
    <n v="80"/>
    <n v="1"/>
    <n v="10"/>
    <n v="1"/>
    <x v="2"/>
    <n v="7"/>
    <n v="7"/>
    <n v="1"/>
    <n v="0"/>
    <x v="0"/>
    <x v="2"/>
  </r>
  <r>
    <n v="28"/>
    <x v="1"/>
    <x v="0"/>
    <n v="995"/>
    <x v="1"/>
    <n v="9"/>
    <n v="3"/>
    <s v="Medical"/>
    <n v="1"/>
    <n v="930"/>
    <n v="3"/>
    <s v="Female"/>
    <n v="77"/>
    <n v="3"/>
    <n v="1"/>
    <x v="1"/>
    <n v="3"/>
    <x v="2"/>
    <n v="2377"/>
    <n v="9834"/>
    <n v="5"/>
    <s v="Y"/>
    <x v="1"/>
    <n v="18"/>
    <n v="3"/>
    <n v="2"/>
    <n v="80"/>
    <n v="1"/>
    <n v="6"/>
    <n v="2"/>
    <x v="1"/>
    <n v="2"/>
    <n v="2"/>
    <n v="2"/>
    <n v="2"/>
    <x v="1"/>
    <x v="1"/>
  </r>
  <r>
    <n v="39"/>
    <x v="0"/>
    <x v="0"/>
    <n v="1122"/>
    <x v="1"/>
    <n v="6"/>
    <n v="3"/>
    <s v="Medical"/>
    <n v="1"/>
    <n v="932"/>
    <n v="4"/>
    <s v="Male"/>
    <n v="70"/>
    <n v="3"/>
    <n v="1"/>
    <x v="2"/>
    <n v="1"/>
    <x v="1"/>
    <n v="2404"/>
    <n v="4303"/>
    <n v="7"/>
    <s v="Y"/>
    <x v="0"/>
    <n v="21"/>
    <n v="4"/>
    <n v="4"/>
    <n v="80"/>
    <n v="0"/>
    <n v="8"/>
    <n v="2"/>
    <x v="0"/>
    <n v="2"/>
    <n v="2"/>
    <n v="2"/>
    <n v="2"/>
    <x v="0"/>
    <x v="0"/>
  </r>
  <r>
    <n v="27"/>
    <x v="1"/>
    <x v="0"/>
    <n v="618"/>
    <x v="1"/>
    <n v="4"/>
    <n v="3"/>
    <s v="Life Sciences"/>
    <n v="1"/>
    <n v="933"/>
    <n v="2"/>
    <s v="Female"/>
    <n v="76"/>
    <n v="3"/>
    <n v="1"/>
    <x v="1"/>
    <n v="3"/>
    <x v="0"/>
    <n v="2318"/>
    <n v="17808"/>
    <n v="1"/>
    <s v="Y"/>
    <x v="1"/>
    <n v="19"/>
    <n v="3"/>
    <n v="3"/>
    <n v="80"/>
    <n v="0"/>
    <n v="1"/>
    <n v="2"/>
    <x v="1"/>
    <n v="1"/>
    <n v="1"/>
    <n v="0"/>
    <n v="0"/>
    <x v="1"/>
    <x v="1"/>
  </r>
  <r>
    <n v="34"/>
    <x v="1"/>
    <x v="0"/>
    <n v="546"/>
    <x v="1"/>
    <n v="10"/>
    <n v="3"/>
    <s v="Life Sciences"/>
    <n v="1"/>
    <n v="934"/>
    <n v="2"/>
    <s v="Male"/>
    <n v="83"/>
    <n v="3"/>
    <n v="1"/>
    <x v="2"/>
    <n v="2"/>
    <x v="2"/>
    <n v="2008"/>
    <n v="6896"/>
    <n v="1"/>
    <s v="Y"/>
    <x v="1"/>
    <n v="14"/>
    <n v="3"/>
    <n v="2"/>
    <n v="80"/>
    <n v="2"/>
    <n v="1"/>
    <n v="3"/>
    <x v="1"/>
    <n v="1"/>
    <n v="0"/>
    <n v="1"/>
    <n v="0"/>
    <x v="0"/>
    <x v="1"/>
  </r>
  <r>
    <n v="42"/>
    <x v="1"/>
    <x v="0"/>
    <n v="462"/>
    <x v="0"/>
    <n v="14"/>
    <n v="2"/>
    <s v="Medical"/>
    <n v="1"/>
    <n v="936"/>
    <n v="3"/>
    <s v="Female"/>
    <n v="68"/>
    <n v="2"/>
    <n v="2"/>
    <x v="0"/>
    <n v="3"/>
    <x v="0"/>
    <n v="6244"/>
    <n v="7824"/>
    <n v="7"/>
    <s v="Y"/>
    <x v="1"/>
    <n v="17"/>
    <n v="3"/>
    <n v="1"/>
    <n v="80"/>
    <n v="0"/>
    <n v="10"/>
    <n v="6"/>
    <x v="1"/>
    <n v="5"/>
    <n v="4"/>
    <n v="0"/>
    <n v="3"/>
    <x v="0"/>
    <x v="1"/>
  </r>
  <r>
    <n v="33"/>
    <x v="1"/>
    <x v="0"/>
    <n v="1198"/>
    <x v="1"/>
    <n v="1"/>
    <n v="4"/>
    <s v="Other"/>
    <n v="1"/>
    <n v="939"/>
    <n v="3"/>
    <s v="Male"/>
    <n v="100"/>
    <n v="2"/>
    <n v="1"/>
    <x v="1"/>
    <n v="1"/>
    <x v="0"/>
    <n v="2799"/>
    <n v="3339"/>
    <n v="3"/>
    <s v="Y"/>
    <x v="0"/>
    <n v="11"/>
    <n v="3"/>
    <n v="2"/>
    <n v="80"/>
    <n v="0"/>
    <n v="6"/>
    <n v="1"/>
    <x v="1"/>
    <n v="3"/>
    <n v="2"/>
    <n v="0"/>
    <n v="2"/>
    <x v="0"/>
    <x v="1"/>
  </r>
  <r>
    <n v="58"/>
    <x v="1"/>
    <x v="0"/>
    <n v="1272"/>
    <x v="1"/>
    <n v="5"/>
    <n v="3"/>
    <s v="Technical Degree"/>
    <n v="1"/>
    <n v="940"/>
    <n v="3"/>
    <s v="Female"/>
    <n v="37"/>
    <n v="2"/>
    <n v="3"/>
    <x v="4"/>
    <n v="2"/>
    <x v="2"/>
    <n v="10552"/>
    <n v="9255"/>
    <n v="2"/>
    <s v="Y"/>
    <x v="0"/>
    <n v="13"/>
    <n v="3"/>
    <n v="4"/>
    <n v="80"/>
    <n v="1"/>
    <n v="24"/>
    <n v="3"/>
    <x v="1"/>
    <n v="6"/>
    <n v="0"/>
    <n v="0"/>
    <n v="4"/>
    <x v="2"/>
    <x v="1"/>
  </r>
  <r>
    <n v="31"/>
    <x v="1"/>
    <x v="0"/>
    <n v="154"/>
    <x v="0"/>
    <n v="7"/>
    <n v="4"/>
    <s v="Life Sciences"/>
    <n v="1"/>
    <n v="941"/>
    <n v="2"/>
    <s v="Male"/>
    <n v="41"/>
    <n v="2"/>
    <n v="1"/>
    <x v="6"/>
    <n v="3"/>
    <x v="1"/>
    <n v="2329"/>
    <n v="11737"/>
    <n v="3"/>
    <s v="Y"/>
    <x v="1"/>
    <n v="15"/>
    <n v="3"/>
    <n v="2"/>
    <n v="80"/>
    <n v="0"/>
    <n v="13"/>
    <n v="2"/>
    <x v="3"/>
    <n v="7"/>
    <n v="7"/>
    <n v="5"/>
    <n v="2"/>
    <x v="0"/>
    <x v="3"/>
  </r>
  <r>
    <n v="35"/>
    <x v="1"/>
    <x v="0"/>
    <n v="1137"/>
    <x v="1"/>
    <n v="21"/>
    <n v="1"/>
    <s v="Life Sciences"/>
    <n v="1"/>
    <n v="942"/>
    <n v="4"/>
    <s v="Female"/>
    <n v="51"/>
    <n v="3"/>
    <n v="2"/>
    <x v="4"/>
    <n v="4"/>
    <x v="1"/>
    <n v="4014"/>
    <n v="19170"/>
    <n v="1"/>
    <s v="Y"/>
    <x v="0"/>
    <n v="25"/>
    <n v="4"/>
    <n v="4"/>
    <n v="80"/>
    <n v="1"/>
    <n v="10"/>
    <n v="2"/>
    <x v="0"/>
    <n v="10"/>
    <n v="6"/>
    <n v="0"/>
    <n v="7"/>
    <x v="0"/>
    <x v="0"/>
  </r>
  <r>
    <n v="49"/>
    <x v="1"/>
    <x v="0"/>
    <n v="527"/>
    <x v="1"/>
    <n v="8"/>
    <n v="2"/>
    <s v="Other"/>
    <n v="1"/>
    <n v="944"/>
    <n v="1"/>
    <s v="Female"/>
    <n v="51"/>
    <n v="3"/>
    <n v="3"/>
    <x v="2"/>
    <n v="2"/>
    <x v="1"/>
    <n v="7403"/>
    <n v="22477"/>
    <n v="4"/>
    <s v="Y"/>
    <x v="1"/>
    <n v="11"/>
    <n v="3"/>
    <n v="3"/>
    <n v="80"/>
    <n v="1"/>
    <n v="29"/>
    <n v="3"/>
    <x v="2"/>
    <n v="26"/>
    <n v="9"/>
    <n v="1"/>
    <n v="7"/>
    <x v="0"/>
    <x v="2"/>
  </r>
  <r>
    <n v="48"/>
    <x v="1"/>
    <x v="0"/>
    <n v="1469"/>
    <x v="1"/>
    <n v="20"/>
    <n v="4"/>
    <s v="Medical"/>
    <n v="1"/>
    <n v="945"/>
    <n v="4"/>
    <s v="Male"/>
    <n v="51"/>
    <n v="3"/>
    <n v="1"/>
    <x v="1"/>
    <n v="3"/>
    <x v="1"/>
    <n v="2259"/>
    <n v="5543"/>
    <n v="4"/>
    <s v="Y"/>
    <x v="1"/>
    <n v="17"/>
    <n v="3"/>
    <n v="1"/>
    <n v="80"/>
    <n v="2"/>
    <n v="13"/>
    <n v="2"/>
    <x v="2"/>
    <n v="0"/>
    <n v="0"/>
    <n v="0"/>
    <n v="0"/>
    <x v="0"/>
    <x v="2"/>
  </r>
  <r>
    <n v="31"/>
    <x v="1"/>
    <x v="2"/>
    <n v="1188"/>
    <x v="0"/>
    <n v="20"/>
    <n v="2"/>
    <s v="Marketing"/>
    <n v="1"/>
    <n v="947"/>
    <n v="4"/>
    <s v="Female"/>
    <n v="45"/>
    <n v="3"/>
    <n v="2"/>
    <x v="0"/>
    <n v="3"/>
    <x v="1"/>
    <n v="6932"/>
    <n v="24406"/>
    <n v="1"/>
    <s v="Y"/>
    <x v="1"/>
    <n v="13"/>
    <n v="3"/>
    <n v="4"/>
    <n v="80"/>
    <n v="1"/>
    <n v="9"/>
    <n v="2"/>
    <x v="2"/>
    <n v="9"/>
    <n v="8"/>
    <n v="0"/>
    <n v="0"/>
    <x v="0"/>
    <x v="2"/>
  </r>
  <r>
    <n v="36"/>
    <x v="1"/>
    <x v="0"/>
    <n v="188"/>
    <x v="1"/>
    <n v="7"/>
    <n v="4"/>
    <s v="Other"/>
    <n v="1"/>
    <n v="949"/>
    <n v="2"/>
    <s v="Male"/>
    <n v="65"/>
    <n v="3"/>
    <n v="1"/>
    <x v="1"/>
    <n v="4"/>
    <x v="0"/>
    <n v="4678"/>
    <n v="23293"/>
    <n v="2"/>
    <s v="Y"/>
    <x v="1"/>
    <n v="18"/>
    <n v="3"/>
    <n v="3"/>
    <n v="80"/>
    <n v="0"/>
    <n v="8"/>
    <n v="6"/>
    <x v="1"/>
    <n v="6"/>
    <n v="2"/>
    <n v="0"/>
    <n v="1"/>
    <x v="0"/>
    <x v="1"/>
  </r>
  <r>
    <n v="38"/>
    <x v="1"/>
    <x v="0"/>
    <n v="1333"/>
    <x v="1"/>
    <n v="1"/>
    <n v="3"/>
    <s v="Technical Degree"/>
    <n v="1"/>
    <n v="950"/>
    <n v="4"/>
    <s v="Female"/>
    <n v="80"/>
    <n v="3"/>
    <n v="3"/>
    <x v="7"/>
    <n v="1"/>
    <x v="1"/>
    <n v="13582"/>
    <n v="16292"/>
    <n v="1"/>
    <s v="Y"/>
    <x v="1"/>
    <n v="13"/>
    <n v="3"/>
    <n v="2"/>
    <n v="80"/>
    <n v="1"/>
    <n v="15"/>
    <n v="3"/>
    <x v="1"/>
    <n v="15"/>
    <n v="12"/>
    <n v="5"/>
    <n v="11"/>
    <x v="0"/>
    <x v="1"/>
  </r>
  <r>
    <n v="32"/>
    <x v="1"/>
    <x v="2"/>
    <n v="1184"/>
    <x v="1"/>
    <n v="1"/>
    <n v="3"/>
    <s v="Life Sciences"/>
    <n v="1"/>
    <n v="951"/>
    <n v="3"/>
    <s v="Female"/>
    <n v="70"/>
    <n v="2"/>
    <n v="1"/>
    <x v="2"/>
    <n v="2"/>
    <x v="1"/>
    <n v="2332"/>
    <n v="3974"/>
    <n v="6"/>
    <s v="Y"/>
    <x v="1"/>
    <n v="20"/>
    <n v="4"/>
    <n v="3"/>
    <n v="80"/>
    <n v="0"/>
    <n v="5"/>
    <n v="3"/>
    <x v="1"/>
    <n v="3"/>
    <n v="0"/>
    <n v="0"/>
    <n v="2"/>
    <x v="0"/>
    <x v="1"/>
  </r>
  <r>
    <n v="25"/>
    <x v="0"/>
    <x v="0"/>
    <n v="867"/>
    <x v="0"/>
    <n v="19"/>
    <n v="2"/>
    <s v="Marketing"/>
    <n v="1"/>
    <n v="952"/>
    <n v="3"/>
    <s v="Male"/>
    <n v="36"/>
    <n v="2"/>
    <n v="1"/>
    <x v="6"/>
    <n v="2"/>
    <x v="1"/>
    <n v="2413"/>
    <n v="18798"/>
    <n v="1"/>
    <s v="Y"/>
    <x v="0"/>
    <n v="18"/>
    <n v="3"/>
    <n v="3"/>
    <n v="80"/>
    <n v="3"/>
    <n v="1"/>
    <n v="2"/>
    <x v="1"/>
    <n v="1"/>
    <n v="0"/>
    <n v="0"/>
    <n v="0"/>
    <x v="1"/>
    <x v="1"/>
  </r>
  <r>
    <n v="40"/>
    <x v="1"/>
    <x v="0"/>
    <n v="658"/>
    <x v="0"/>
    <n v="10"/>
    <n v="4"/>
    <s v="Marketing"/>
    <n v="1"/>
    <n v="954"/>
    <n v="1"/>
    <s v="Male"/>
    <n v="67"/>
    <n v="2"/>
    <n v="3"/>
    <x v="0"/>
    <n v="2"/>
    <x v="2"/>
    <n v="9705"/>
    <n v="20652"/>
    <n v="2"/>
    <s v="Y"/>
    <x v="1"/>
    <n v="12"/>
    <n v="3"/>
    <n v="2"/>
    <n v="80"/>
    <n v="1"/>
    <n v="11"/>
    <n v="2"/>
    <x v="2"/>
    <n v="1"/>
    <n v="0"/>
    <n v="0"/>
    <n v="0"/>
    <x v="0"/>
    <x v="2"/>
  </r>
  <r>
    <n v="26"/>
    <x v="1"/>
    <x v="1"/>
    <n v="1283"/>
    <x v="0"/>
    <n v="1"/>
    <n v="3"/>
    <s v="Medical"/>
    <n v="1"/>
    <n v="956"/>
    <n v="3"/>
    <s v="Male"/>
    <n v="52"/>
    <n v="2"/>
    <n v="2"/>
    <x v="0"/>
    <n v="1"/>
    <x v="0"/>
    <n v="4294"/>
    <n v="11148"/>
    <n v="1"/>
    <s v="Y"/>
    <x v="1"/>
    <n v="12"/>
    <n v="3"/>
    <n v="2"/>
    <n v="80"/>
    <n v="0"/>
    <n v="7"/>
    <n v="2"/>
    <x v="1"/>
    <n v="7"/>
    <n v="7"/>
    <n v="0"/>
    <n v="7"/>
    <x v="1"/>
    <x v="1"/>
  </r>
  <r>
    <n v="41"/>
    <x v="1"/>
    <x v="0"/>
    <n v="263"/>
    <x v="1"/>
    <n v="6"/>
    <n v="3"/>
    <s v="Medical"/>
    <n v="1"/>
    <n v="957"/>
    <n v="4"/>
    <s v="Male"/>
    <n v="59"/>
    <n v="3"/>
    <n v="1"/>
    <x v="2"/>
    <n v="1"/>
    <x v="0"/>
    <n v="4721"/>
    <n v="3119"/>
    <n v="2"/>
    <s v="Y"/>
    <x v="0"/>
    <n v="13"/>
    <n v="3"/>
    <n v="3"/>
    <n v="80"/>
    <n v="0"/>
    <n v="20"/>
    <n v="3"/>
    <x v="1"/>
    <n v="18"/>
    <n v="13"/>
    <n v="2"/>
    <n v="17"/>
    <x v="0"/>
    <x v="1"/>
  </r>
  <r>
    <n v="36"/>
    <x v="1"/>
    <x v="0"/>
    <n v="938"/>
    <x v="1"/>
    <n v="2"/>
    <n v="4"/>
    <s v="Medical"/>
    <n v="1"/>
    <n v="958"/>
    <n v="3"/>
    <s v="Male"/>
    <n v="79"/>
    <n v="3"/>
    <n v="1"/>
    <x v="2"/>
    <n v="3"/>
    <x v="0"/>
    <n v="2519"/>
    <n v="12287"/>
    <n v="4"/>
    <s v="Y"/>
    <x v="1"/>
    <n v="21"/>
    <n v="4"/>
    <n v="3"/>
    <n v="80"/>
    <n v="0"/>
    <n v="16"/>
    <n v="6"/>
    <x v="1"/>
    <n v="11"/>
    <n v="8"/>
    <n v="3"/>
    <n v="9"/>
    <x v="0"/>
    <x v="1"/>
  </r>
  <r>
    <n v="19"/>
    <x v="0"/>
    <x v="0"/>
    <n v="419"/>
    <x v="0"/>
    <n v="21"/>
    <n v="3"/>
    <s v="Other"/>
    <n v="1"/>
    <n v="959"/>
    <n v="4"/>
    <s v="Male"/>
    <n v="37"/>
    <n v="2"/>
    <n v="1"/>
    <x v="6"/>
    <n v="2"/>
    <x v="0"/>
    <n v="2121"/>
    <n v="9947"/>
    <n v="1"/>
    <s v="Y"/>
    <x v="0"/>
    <n v="13"/>
    <n v="3"/>
    <n v="2"/>
    <n v="80"/>
    <n v="0"/>
    <n v="1"/>
    <n v="3"/>
    <x v="3"/>
    <n v="1"/>
    <n v="0"/>
    <n v="0"/>
    <n v="0"/>
    <x v="1"/>
    <x v="3"/>
  </r>
  <r>
    <n v="20"/>
    <x v="0"/>
    <x v="0"/>
    <n v="129"/>
    <x v="1"/>
    <n v="4"/>
    <n v="3"/>
    <s v="Technical Degree"/>
    <n v="1"/>
    <n v="960"/>
    <n v="1"/>
    <s v="Male"/>
    <n v="84"/>
    <n v="3"/>
    <n v="1"/>
    <x v="2"/>
    <n v="1"/>
    <x v="0"/>
    <n v="2973"/>
    <n v="13008"/>
    <n v="1"/>
    <s v="Y"/>
    <x v="1"/>
    <n v="19"/>
    <n v="3"/>
    <n v="2"/>
    <n v="80"/>
    <n v="0"/>
    <n v="1"/>
    <n v="2"/>
    <x v="1"/>
    <n v="1"/>
    <n v="0"/>
    <n v="0"/>
    <n v="0"/>
    <x v="1"/>
    <x v="1"/>
  </r>
  <r>
    <n v="31"/>
    <x v="1"/>
    <x v="0"/>
    <n v="616"/>
    <x v="1"/>
    <n v="12"/>
    <n v="3"/>
    <s v="Medical"/>
    <n v="1"/>
    <n v="961"/>
    <n v="4"/>
    <s v="Female"/>
    <n v="41"/>
    <n v="3"/>
    <n v="2"/>
    <x v="4"/>
    <n v="4"/>
    <x v="1"/>
    <n v="5855"/>
    <n v="17369"/>
    <n v="0"/>
    <s v="Y"/>
    <x v="0"/>
    <n v="11"/>
    <n v="3"/>
    <n v="3"/>
    <n v="80"/>
    <n v="2"/>
    <n v="10"/>
    <n v="2"/>
    <x v="0"/>
    <n v="9"/>
    <n v="7"/>
    <n v="8"/>
    <n v="5"/>
    <x v="0"/>
    <x v="0"/>
  </r>
  <r>
    <n v="40"/>
    <x v="1"/>
    <x v="1"/>
    <n v="1469"/>
    <x v="1"/>
    <n v="9"/>
    <n v="4"/>
    <s v="Medical"/>
    <n v="1"/>
    <n v="964"/>
    <n v="4"/>
    <s v="Male"/>
    <n v="35"/>
    <n v="3"/>
    <n v="1"/>
    <x v="1"/>
    <n v="2"/>
    <x v="2"/>
    <n v="3617"/>
    <n v="25063"/>
    <n v="8"/>
    <s v="Y"/>
    <x v="0"/>
    <n v="14"/>
    <n v="3"/>
    <n v="4"/>
    <n v="80"/>
    <n v="1"/>
    <n v="3"/>
    <n v="2"/>
    <x v="1"/>
    <n v="1"/>
    <n v="1"/>
    <n v="0"/>
    <n v="0"/>
    <x v="0"/>
    <x v="1"/>
  </r>
  <r>
    <n v="32"/>
    <x v="1"/>
    <x v="0"/>
    <n v="498"/>
    <x v="1"/>
    <n v="3"/>
    <n v="4"/>
    <s v="Medical"/>
    <n v="1"/>
    <n v="966"/>
    <n v="3"/>
    <s v="Female"/>
    <n v="93"/>
    <n v="3"/>
    <n v="2"/>
    <x v="3"/>
    <n v="1"/>
    <x v="1"/>
    <n v="6725"/>
    <n v="13554"/>
    <n v="1"/>
    <s v="Y"/>
    <x v="1"/>
    <n v="12"/>
    <n v="3"/>
    <n v="3"/>
    <n v="80"/>
    <n v="1"/>
    <n v="8"/>
    <n v="2"/>
    <x v="3"/>
    <n v="8"/>
    <n v="7"/>
    <n v="6"/>
    <n v="3"/>
    <x v="0"/>
    <x v="3"/>
  </r>
  <r>
    <n v="36"/>
    <x v="0"/>
    <x v="0"/>
    <n v="530"/>
    <x v="0"/>
    <n v="3"/>
    <n v="1"/>
    <s v="Life Sciences"/>
    <n v="1"/>
    <n v="967"/>
    <n v="3"/>
    <s v="Male"/>
    <n v="51"/>
    <n v="2"/>
    <n v="3"/>
    <x v="0"/>
    <n v="4"/>
    <x v="1"/>
    <n v="10325"/>
    <n v="5518"/>
    <n v="1"/>
    <s v="Y"/>
    <x v="0"/>
    <n v="11"/>
    <n v="3"/>
    <n v="1"/>
    <n v="80"/>
    <n v="1"/>
    <n v="16"/>
    <n v="6"/>
    <x v="1"/>
    <n v="16"/>
    <n v="7"/>
    <n v="3"/>
    <n v="7"/>
    <x v="0"/>
    <x v="1"/>
  </r>
  <r>
    <n v="33"/>
    <x v="1"/>
    <x v="0"/>
    <n v="1069"/>
    <x v="1"/>
    <n v="1"/>
    <n v="3"/>
    <s v="Life Sciences"/>
    <n v="1"/>
    <n v="969"/>
    <n v="2"/>
    <s v="Female"/>
    <n v="42"/>
    <n v="2"/>
    <n v="2"/>
    <x v="4"/>
    <n v="4"/>
    <x v="0"/>
    <n v="6949"/>
    <n v="12291"/>
    <n v="0"/>
    <s v="Y"/>
    <x v="1"/>
    <n v="14"/>
    <n v="3"/>
    <n v="1"/>
    <n v="80"/>
    <n v="0"/>
    <n v="6"/>
    <n v="3"/>
    <x v="1"/>
    <n v="5"/>
    <n v="0"/>
    <n v="1"/>
    <n v="4"/>
    <x v="0"/>
    <x v="1"/>
  </r>
  <r>
    <n v="37"/>
    <x v="0"/>
    <x v="0"/>
    <n v="625"/>
    <x v="0"/>
    <n v="1"/>
    <n v="4"/>
    <s v="Life Sciences"/>
    <n v="1"/>
    <n v="970"/>
    <n v="1"/>
    <s v="Male"/>
    <n v="46"/>
    <n v="2"/>
    <n v="3"/>
    <x v="0"/>
    <n v="3"/>
    <x v="1"/>
    <n v="10609"/>
    <n v="14922"/>
    <n v="5"/>
    <s v="Y"/>
    <x v="1"/>
    <n v="11"/>
    <n v="3"/>
    <n v="3"/>
    <n v="80"/>
    <n v="0"/>
    <n v="17"/>
    <n v="2"/>
    <x v="0"/>
    <n v="14"/>
    <n v="1"/>
    <n v="11"/>
    <n v="7"/>
    <x v="0"/>
    <x v="0"/>
  </r>
  <r>
    <n v="45"/>
    <x v="1"/>
    <x v="2"/>
    <n v="805"/>
    <x v="1"/>
    <n v="4"/>
    <n v="2"/>
    <s v="Life Sciences"/>
    <n v="1"/>
    <n v="972"/>
    <n v="3"/>
    <s v="Male"/>
    <n v="57"/>
    <n v="3"/>
    <n v="2"/>
    <x v="2"/>
    <n v="2"/>
    <x v="1"/>
    <n v="4447"/>
    <n v="23163"/>
    <n v="1"/>
    <s v="Y"/>
    <x v="1"/>
    <n v="12"/>
    <n v="3"/>
    <n v="2"/>
    <n v="80"/>
    <n v="0"/>
    <n v="9"/>
    <n v="5"/>
    <x v="2"/>
    <n v="9"/>
    <n v="7"/>
    <n v="0"/>
    <n v="8"/>
    <x v="0"/>
    <x v="2"/>
  </r>
  <r>
    <n v="29"/>
    <x v="1"/>
    <x v="1"/>
    <n v="1404"/>
    <x v="0"/>
    <n v="20"/>
    <n v="3"/>
    <s v="Technical Degree"/>
    <n v="1"/>
    <n v="974"/>
    <n v="3"/>
    <s v="Female"/>
    <n v="84"/>
    <n v="3"/>
    <n v="1"/>
    <x v="6"/>
    <n v="4"/>
    <x v="1"/>
    <n v="2157"/>
    <n v="18203"/>
    <n v="1"/>
    <s v="Y"/>
    <x v="1"/>
    <n v="15"/>
    <n v="3"/>
    <n v="2"/>
    <n v="80"/>
    <n v="1"/>
    <n v="3"/>
    <n v="5"/>
    <x v="1"/>
    <n v="3"/>
    <n v="1"/>
    <n v="0"/>
    <n v="2"/>
    <x v="1"/>
    <x v="1"/>
  </r>
  <r>
    <n v="35"/>
    <x v="1"/>
    <x v="0"/>
    <n v="1219"/>
    <x v="0"/>
    <n v="18"/>
    <n v="3"/>
    <s v="Medical"/>
    <n v="1"/>
    <n v="975"/>
    <n v="3"/>
    <s v="Female"/>
    <n v="86"/>
    <n v="3"/>
    <n v="2"/>
    <x v="0"/>
    <n v="3"/>
    <x v="1"/>
    <n v="4601"/>
    <n v="6179"/>
    <n v="1"/>
    <s v="Y"/>
    <x v="1"/>
    <n v="16"/>
    <n v="3"/>
    <n v="2"/>
    <n v="80"/>
    <n v="0"/>
    <n v="5"/>
    <n v="3"/>
    <x v="1"/>
    <n v="5"/>
    <n v="2"/>
    <n v="1"/>
    <n v="0"/>
    <x v="0"/>
    <x v="1"/>
  </r>
  <r>
    <n v="52"/>
    <x v="1"/>
    <x v="0"/>
    <n v="1053"/>
    <x v="1"/>
    <n v="1"/>
    <n v="2"/>
    <s v="Life Sciences"/>
    <n v="1"/>
    <n v="976"/>
    <n v="4"/>
    <s v="Male"/>
    <n v="70"/>
    <n v="3"/>
    <n v="4"/>
    <x v="5"/>
    <n v="4"/>
    <x v="1"/>
    <n v="17099"/>
    <n v="13829"/>
    <n v="2"/>
    <s v="Y"/>
    <x v="1"/>
    <n v="15"/>
    <n v="3"/>
    <n v="2"/>
    <n v="80"/>
    <n v="1"/>
    <n v="26"/>
    <n v="2"/>
    <x v="2"/>
    <n v="9"/>
    <n v="8"/>
    <n v="7"/>
    <n v="8"/>
    <x v="2"/>
    <x v="2"/>
  </r>
  <r>
    <n v="58"/>
    <x v="0"/>
    <x v="0"/>
    <n v="289"/>
    <x v="1"/>
    <n v="2"/>
    <n v="3"/>
    <s v="Technical Degree"/>
    <n v="1"/>
    <n v="977"/>
    <n v="4"/>
    <s v="Male"/>
    <n v="51"/>
    <n v="3"/>
    <n v="1"/>
    <x v="1"/>
    <n v="3"/>
    <x v="0"/>
    <n v="2479"/>
    <n v="26227"/>
    <n v="4"/>
    <s v="Y"/>
    <x v="1"/>
    <n v="24"/>
    <n v="4"/>
    <n v="1"/>
    <n v="80"/>
    <n v="0"/>
    <n v="7"/>
    <n v="4"/>
    <x v="1"/>
    <n v="1"/>
    <n v="0"/>
    <n v="0"/>
    <n v="0"/>
    <x v="2"/>
    <x v="1"/>
  </r>
  <r>
    <n v="53"/>
    <x v="1"/>
    <x v="0"/>
    <n v="1376"/>
    <x v="0"/>
    <n v="2"/>
    <n v="2"/>
    <s v="Medical"/>
    <n v="1"/>
    <n v="981"/>
    <n v="3"/>
    <s v="Male"/>
    <n v="45"/>
    <n v="3"/>
    <n v="4"/>
    <x v="5"/>
    <n v="3"/>
    <x v="2"/>
    <n v="14852"/>
    <n v="13938"/>
    <n v="6"/>
    <s v="Y"/>
    <x v="1"/>
    <n v="13"/>
    <n v="3"/>
    <n v="3"/>
    <n v="80"/>
    <n v="1"/>
    <n v="22"/>
    <n v="3"/>
    <x v="3"/>
    <n v="17"/>
    <n v="13"/>
    <n v="15"/>
    <n v="2"/>
    <x v="2"/>
    <x v="3"/>
  </r>
  <r>
    <n v="30"/>
    <x v="1"/>
    <x v="0"/>
    <n v="231"/>
    <x v="0"/>
    <n v="8"/>
    <n v="2"/>
    <s v="Other"/>
    <n v="1"/>
    <n v="982"/>
    <n v="3"/>
    <s v="Male"/>
    <n v="62"/>
    <n v="3"/>
    <n v="3"/>
    <x v="0"/>
    <n v="3"/>
    <x v="2"/>
    <n v="7264"/>
    <n v="9977"/>
    <n v="5"/>
    <s v="Y"/>
    <x v="1"/>
    <n v="11"/>
    <n v="3"/>
    <n v="1"/>
    <n v="80"/>
    <n v="1"/>
    <n v="10"/>
    <n v="2"/>
    <x v="3"/>
    <n v="8"/>
    <n v="4"/>
    <n v="7"/>
    <n v="7"/>
    <x v="1"/>
    <x v="3"/>
  </r>
  <r>
    <n v="38"/>
    <x v="1"/>
    <x v="2"/>
    <n v="152"/>
    <x v="0"/>
    <n v="10"/>
    <n v="3"/>
    <s v="Technical Degree"/>
    <n v="1"/>
    <n v="983"/>
    <n v="3"/>
    <s v="Female"/>
    <n v="85"/>
    <n v="3"/>
    <n v="2"/>
    <x v="0"/>
    <n v="4"/>
    <x v="0"/>
    <n v="5666"/>
    <n v="19899"/>
    <n v="1"/>
    <s v="Y"/>
    <x v="0"/>
    <n v="13"/>
    <n v="3"/>
    <n v="2"/>
    <n v="80"/>
    <n v="0"/>
    <n v="6"/>
    <n v="1"/>
    <x v="1"/>
    <n v="5"/>
    <n v="3"/>
    <n v="1"/>
    <n v="3"/>
    <x v="0"/>
    <x v="1"/>
  </r>
  <r>
    <n v="35"/>
    <x v="1"/>
    <x v="0"/>
    <n v="882"/>
    <x v="0"/>
    <n v="3"/>
    <n v="4"/>
    <s v="Life Sciences"/>
    <n v="1"/>
    <n v="984"/>
    <n v="4"/>
    <s v="Male"/>
    <n v="92"/>
    <n v="3"/>
    <n v="3"/>
    <x v="0"/>
    <n v="4"/>
    <x v="2"/>
    <n v="7823"/>
    <n v="6812"/>
    <n v="6"/>
    <s v="Y"/>
    <x v="1"/>
    <n v="13"/>
    <n v="3"/>
    <n v="2"/>
    <n v="80"/>
    <n v="1"/>
    <n v="12"/>
    <n v="2"/>
    <x v="1"/>
    <n v="10"/>
    <n v="9"/>
    <n v="0"/>
    <n v="8"/>
    <x v="0"/>
    <x v="1"/>
  </r>
  <r>
    <n v="39"/>
    <x v="1"/>
    <x v="0"/>
    <n v="903"/>
    <x v="0"/>
    <n v="2"/>
    <n v="5"/>
    <s v="Life Sciences"/>
    <n v="1"/>
    <n v="985"/>
    <n v="1"/>
    <s v="Male"/>
    <n v="41"/>
    <n v="4"/>
    <n v="3"/>
    <x v="0"/>
    <n v="3"/>
    <x v="0"/>
    <n v="7880"/>
    <n v="2560"/>
    <n v="0"/>
    <s v="Y"/>
    <x v="1"/>
    <n v="18"/>
    <n v="3"/>
    <n v="4"/>
    <n v="80"/>
    <n v="0"/>
    <n v="9"/>
    <n v="3"/>
    <x v="1"/>
    <n v="8"/>
    <n v="7"/>
    <n v="0"/>
    <n v="7"/>
    <x v="0"/>
    <x v="1"/>
  </r>
  <r>
    <n v="40"/>
    <x v="0"/>
    <x v="2"/>
    <n v="1479"/>
    <x v="0"/>
    <n v="24"/>
    <n v="3"/>
    <s v="Life Sciences"/>
    <n v="1"/>
    <n v="986"/>
    <n v="2"/>
    <s v="Female"/>
    <n v="100"/>
    <n v="4"/>
    <n v="4"/>
    <x v="0"/>
    <n v="2"/>
    <x v="0"/>
    <n v="13194"/>
    <n v="17071"/>
    <n v="4"/>
    <s v="Y"/>
    <x v="0"/>
    <n v="16"/>
    <n v="3"/>
    <n v="4"/>
    <n v="80"/>
    <n v="0"/>
    <n v="22"/>
    <n v="2"/>
    <x v="2"/>
    <n v="1"/>
    <n v="0"/>
    <n v="0"/>
    <n v="0"/>
    <x v="0"/>
    <x v="2"/>
  </r>
  <r>
    <n v="47"/>
    <x v="1"/>
    <x v="1"/>
    <n v="1379"/>
    <x v="1"/>
    <n v="16"/>
    <n v="4"/>
    <s v="Medical"/>
    <n v="1"/>
    <n v="987"/>
    <n v="3"/>
    <s v="Male"/>
    <n v="64"/>
    <n v="4"/>
    <n v="2"/>
    <x v="3"/>
    <n v="3"/>
    <x v="2"/>
    <n v="5067"/>
    <n v="6759"/>
    <n v="1"/>
    <s v="Y"/>
    <x v="0"/>
    <n v="19"/>
    <n v="3"/>
    <n v="3"/>
    <n v="80"/>
    <n v="0"/>
    <n v="20"/>
    <n v="3"/>
    <x v="3"/>
    <n v="19"/>
    <n v="10"/>
    <n v="2"/>
    <n v="7"/>
    <x v="0"/>
    <x v="3"/>
  </r>
  <r>
    <n v="36"/>
    <x v="1"/>
    <x v="2"/>
    <n v="1229"/>
    <x v="0"/>
    <n v="8"/>
    <n v="4"/>
    <s v="Technical Degree"/>
    <n v="1"/>
    <n v="990"/>
    <n v="1"/>
    <s v="Male"/>
    <n v="84"/>
    <n v="3"/>
    <n v="2"/>
    <x v="0"/>
    <n v="4"/>
    <x v="2"/>
    <n v="5079"/>
    <n v="25952"/>
    <n v="4"/>
    <s v="Y"/>
    <x v="1"/>
    <n v="13"/>
    <n v="3"/>
    <n v="4"/>
    <n v="80"/>
    <n v="2"/>
    <n v="12"/>
    <n v="3"/>
    <x v="1"/>
    <n v="7"/>
    <n v="7"/>
    <n v="0"/>
    <n v="7"/>
    <x v="0"/>
    <x v="1"/>
  </r>
  <r>
    <n v="31"/>
    <x v="0"/>
    <x v="2"/>
    <n v="335"/>
    <x v="1"/>
    <n v="9"/>
    <n v="2"/>
    <s v="Medical"/>
    <n v="1"/>
    <n v="991"/>
    <n v="3"/>
    <s v="Male"/>
    <n v="46"/>
    <n v="2"/>
    <n v="1"/>
    <x v="1"/>
    <n v="1"/>
    <x v="0"/>
    <n v="2321"/>
    <n v="10322"/>
    <n v="0"/>
    <s v="Y"/>
    <x v="0"/>
    <n v="22"/>
    <n v="4"/>
    <n v="1"/>
    <n v="80"/>
    <n v="0"/>
    <n v="4"/>
    <n v="0"/>
    <x v="1"/>
    <n v="3"/>
    <n v="2"/>
    <n v="1"/>
    <n v="2"/>
    <x v="0"/>
    <x v="1"/>
  </r>
  <r>
    <n v="33"/>
    <x v="1"/>
    <x v="2"/>
    <n v="722"/>
    <x v="0"/>
    <n v="17"/>
    <n v="3"/>
    <s v="Life Sciences"/>
    <n v="1"/>
    <n v="992"/>
    <n v="4"/>
    <s v="Male"/>
    <n v="38"/>
    <n v="3"/>
    <n v="4"/>
    <x v="5"/>
    <n v="3"/>
    <x v="0"/>
    <n v="17444"/>
    <n v="20489"/>
    <n v="1"/>
    <s v="Y"/>
    <x v="1"/>
    <n v="11"/>
    <n v="3"/>
    <n v="4"/>
    <n v="80"/>
    <n v="0"/>
    <n v="10"/>
    <n v="2"/>
    <x v="1"/>
    <n v="10"/>
    <n v="8"/>
    <n v="6"/>
    <n v="0"/>
    <x v="0"/>
    <x v="1"/>
  </r>
  <r>
    <n v="29"/>
    <x v="0"/>
    <x v="0"/>
    <n v="906"/>
    <x v="1"/>
    <n v="10"/>
    <n v="3"/>
    <s v="Life Sciences"/>
    <n v="1"/>
    <n v="994"/>
    <n v="4"/>
    <s v="Female"/>
    <n v="92"/>
    <n v="2"/>
    <n v="1"/>
    <x v="1"/>
    <n v="1"/>
    <x v="0"/>
    <n v="2404"/>
    <n v="11479"/>
    <n v="6"/>
    <s v="Y"/>
    <x v="0"/>
    <n v="20"/>
    <n v="4"/>
    <n v="3"/>
    <n v="80"/>
    <n v="0"/>
    <n v="3"/>
    <n v="5"/>
    <x v="1"/>
    <n v="0"/>
    <n v="0"/>
    <n v="0"/>
    <n v="0"/>
    <x v="1"/>
    <x v="1"/>
  </r>
  <r>
    <n v="33"/>
    <x v="1"/>
    <x v="0"/>
    <n v="461"/>
    <x v="1"/>
    <n v="13"/>
    <n v="1"/>
    <s v="Life Sciences"/>
    <n v="1"/>
    <n v="995"/>
    <n v="2"/>
    <s v="Female"/>
    <n v="53"/>
    <n v="3"/>
    <n v="1"/>
    <x v="1"/>
    <n v="4"/>
    <x v="0"/>
    <n v="3452"/>
    <n v="17241"/>
    <n v="3"/>
    <s v="Y"/>
    <x v="1"/>
    <n v="18"/>
    <n v="3"/>
    <n v="1"/>
    <n v="80"/>
    <n v="0"/>
    <n v="5"/>
    <n v="4"/>
    <x v="1"/>
    <n v="3"/>
    <n v="2"/>
    <n v="0"/>
    <n v="2"/>
    <x v="0"/>
    <x v="1"/>
  </r>
  <r>
    <n v="45"/>
    <x v="1"/>
    <x v="0"/>
    <n v="974"/>
    <x v="1"/>
    <n v="1"/>
    <n v="4"/>
    <s v="Medical"/>
    <n v="1"/>
    <n v="996"/>
    <n v="4"/>
    <s v="Female"/>
    <n v="91"/>
    <n v="3"/>
    <n v="1"/>
    <x v="2"/>
    <n v="4"/>
    <x v="2"/>
    <n v="2270"/>
    <n v="11005"/>
    <n v="3"/>
    <s v="Y"/>
    <x v="1"/>
    <n v="14"/>
    <n v="3"/>
    <n v="4"/>
    <n v="80"/>
    <n v="2"/>
    <n v="8"/>
    <n v="2"/>
    <x v="1"/>
    <n v="5"/>
    <n v="3"/>
    <n v="0"/>
    <n v="2"/>
    <x v="0"/>
    <x v="1"/>
  </r>
  <r>
    <n v="50"/>
    <x v="1"/>
    <x v="0"/>
    <n v="1126"/>
    <x v="1"/>
    <n v="1"/>
    <n v="2"/>
    <s v="Medical"/>
    <n v="1"/>
    <n v="997"/>
    <n v="4"/>
    <s v="Male"/>
    <n v="66"/>
    <n v="3"/>
    <n v="4"/>
    <x v="7"/>
    <n v="4"/>
    <x v="2"/>
    <n v="17399"/>
    <n v="6615"/>
    <n v="9"/>
    <s v="Y"/>
    <x v="1"/>
    <n v="22"/>
    <n v="4"/>
    <n v="3"/>
    <n v="80"/>
    <n v="1"/>
    <n v="32"/>
    <n v="1"/>
    <x v="2"/>
    <n v="5"/>
    <n v="4"/>
    <n v="1"/>
    <n v="3"/>
    <x v="0"/>
    <x v="2"/>
  </r>
  <r>
    <n v="33"/>
    <x v="1"/>
    <x v="1"/>
    <n v="827"/>
    <x v="1"/>
    <n v="1"/>
    <n v="4"/>
    <s v="Other"/>
    <n v="1"/>
    <n v="998"/>
    <n v="3"/>
    <s v="Female"/>
    <n v="84"/>
    <n v="4"/>
    <n v="2"/>
    <x v="4"/>
    <n v="2"/>
    <x v="1"/>
    <n v="5488"/>
    <n v="20161"/>
    <n v="1"/>
    <s v="Y"/>
    <x v="0"/>
    <n v="13"/>
    <n v="3"/>
    <n v="1"/>
    <n v="80"/>
    <n v="1"/>
    <n v="6"/>
    <n v="2"/>
    <x v="1"/>
    <n v="6"/>
    <n v="5"/>
    <n v="1"/>
    <n v="2"/>
    <x v="0"/>
    <x v="1"/>
  </r>
  <r>
    <n v="41"/>
    <x v="1"/>
    <x v="1"/>
    <n v="840"/>
    <x v="1"/>
    <n v="9"/>
    <n v="3"/>
    <s v="Medical"/>
    <n v="1"/>
    <n v="999"/>
    <n v="1"/>
    <s v="Male"/>
    <n v="64"/>
    <n v="3"/>
    <n v="5"/>
    <x v="7"/>
    <n v="3"/>
    <x v="2"/>
    <n v="19419"/>
    <n v="3735"/>
    <n v="2"/>
    <s v="Y"/>
    <x v="1"/>
    <n v="17"/>
    <n v="3"/>
    <n v="2"/>
    <n v="80"/>
    <n v="1"/>
    <n v="21"/>
    <n v="2"/>
    <x v="3"/>
    <n v="18"/>
    <n v="16"/>
    <n v="0"/>
    <n v="11"/>
    <x v="0"/>
    <x v="3"/>
  </r>
  <r>
    <n v="27"/>
    <x v="1"/>
    <x v="0"/>
    <n v="1134"/>
    <x v="1"/>
    <n v="16"/>
    <n v="4"/>
    <s v="Technical Degree"/>
    <n v="1"/>
    <n v="1001"/>
    <n v="3"/>
    <s v="Female"/>
    <n v="37"/>
    <n v="3"/>
    <n v="1"/>
    <x v="2"/>
    <n v="2"/>
    <x v="1"/>
    <n v="2811"/>
    <n v="12086"/>
    <n v="9"/>
    <s v="Y"/>
    <x v="1"/>
    <n v="14"/>
    <n v="3"/>
    <n v="2"/>
    <n v="80"/>
    <n v="1"/>
    <n v="4"/>
    <n v="2"/>
    <x v="1"/>
    <n v="2"/>
    <n v="2"/>
    <n v="2"/>
    <n v="2"/>
    <x v="1"/>
    <x v="1"/>
  </r>
  <r>
    <n v="45"/>
    <x v="1"/>
    <x v="2"/>
    <n v="248"/>
    <x v="1"/>
    <n v="23"/>
    <n v="2"/>
    <s v="Life Sciences"/>
    <n v="1"/>
    <n v="1002"/>
    <n v="4"/>
    <s v="Male"/>
    <n v="42"/>
    <n v="3"/>
    <n v="2"/>
    <x v="2"/>
    <n v="1"/>
    <x v="1"/>
    <n v="3633"/>
    <n v="14039"/>
    <n v="1"/>
    <s v="Y"/>
    <x v="0"/>
    <n v="15"/>
    <n v="3"/>
    <n v="3"/>
    <n v="80"/>
    <n v="1"/>
    <n v="9"/>
    <n v="2"/>
    <x v="1"/>
    <n v="9"/>
    <n v="8"/>
    <n v="0"/>
    <n v="8"/>
    <x v="0"/>
    <x v="1"/>
  </r>
  <r>
    <n v="47"/>
    <x v="1"/>
    <x v="0"/>
    <n v="955"/>
    <x v="0"/>
    <n v="4"/>
    <n v="2"/>
    <s v="Life Sciences"/>
    <n v="1"/>
    <n v="1003"/>
    <n v="4"/>
    <s v="Female"/>
    <n v="83"/>
    <n v="3"/>
    <n v="2"/>
    <x v="0"/>
    <n v="4"/>
    <x v="0"/>
    <n v="4163"/>
    <n v="8571"/>
    <n v="1"/>
    <s v="Y"/>
    <x v="0"/>
    <n v="17"/>
    <n v="3"/>
    <n v="3"/>
    <n v="80"/>
    <n v="0"/>
    <n v="9"/>
    <n v="0"/>
    <x v="1"/>
    <n v="9"/>
    <n v="0"/>
    <n v="0"/>
    <n v="7"/>
    <x v="0"/>
    <x v="1"/>
  </r>
  <r>
    <n v="30"/>
    <x v="0"/>
    <x v="0"/>
    <n v="138"/>
    <x v="1"/>
    <n v="22"/>
    <n v="3"/>
    <s v="Life Sciences"/>
    <n v="1"/>
    <n v="1004"/>
    <n v="1"/>
    <s v="Female"/>
    <n v="48"/>
    <n v="3"/>
    <n v="1"/>
    <x v="1"/>
    <n v="3"/>
    <x v="1"/>
    <n v="2132"/>
    <n v="11539"/>
    <n v="4"/>
    <s v="Y"/>
    <x v="0"/>
    <n v="11"/>
    <n v="3"/>
    <n v="2"/>
    <n v="80"/>
    <n v="0"/>
    <n v="7"/>
    <n v="2"/>
    <x v="1"/>
    <n v="5"/>
    <n v="2"/>
    <n v="0"/>
    <n v="1"/>
    <x v="1"/>
    <x v="1"/>
  </r>
  <r>
    <n v="50"/>
    <x v="1"/>
    <x v="0"/>
    <n v="939"/>
    <x v="1"/>
    <n v="24"/>
    <n v="3"/>
    <s v="Life Sciences"/>
    <n v="1"/>
    <n v="1005"/>
    <n v="4"/>
    <s v="Male"/>
    <n v="95"/>
    <n v="3"/>
    <n v="4"/>
    <x v="3"/>
    <n v="3"/>
    <x v="1"/>
    <n v="13973"/>
    <n v="4161"/>
    <n v="3"/>
    <s v="Y"/>
    <x v="0"/>
    <n v="18"/>
    <n v="3"/>
    <n v="4"/>
    <n v="80"/>
    <n v="1"/>
    <n v="22"/>
    <n v="2"/>
    <x v="1"/>
    <n v="12"/>
    <n v="11"/>
    <n v="1"/>
    <n v="5"/>
    <x v="0"/>
    <x v="1"/>
  </r>
  <r>
    <n v="38"/>
    <x v="1"/>
    <x v="1"/>
    <n v="1391"/>
    <x v="1"/>
    <n v="10"/>
    <n v="1"/>
    <s v="Medical"/>
    <n v="1"/>
    <n v="1006"/>
    <n v="3"/>
    <s v="Male"/>
    <n v="66"/>
    <n v="3"/>
    <n v="1"/>
    <x v="1"/>
    <n v="3"/>
    <x v="1"/>
    <n v="2684"/>
    <n v="12127"/>
    <n v="0"/>
    <s v="Y"/>
    <x v="1"/>
    <n v="17"/>
    <n v="3"/>
    <n v="2"/>
    <n v="80"/>
    <n v="1"/>
    <n v="3"/>
    <n v="0"/>
    <x v="2"/>
    <n v="2"/>
    <n v="1"/>
    <n v="0"/>
    <n v="2"/>
    <x v="0"/>
    <x v="2"/>
  </r>
  <r>
    <n v="46"/>
    <x v="1"/>
    <x v="0"/>
    <n v="566"/>
    <x v="1"/>
    <n v="7"/>
    <n v="2"/>
    <s v="Medical"/>
    <n v="1"/>
    <n v="1007"/>
    <n v="4"/>
    <s v="Male"/>
    <n v="75"/>
    <n v="3"/>
    <n v="3"/>
    <x v="3"/>
    <n v="3"/>
    <x v="2"/>
    <n v="10845"/>
    <n v="24208"/>
    <n v="6"/>
    <s v="Y"/>
    <x v="1"/>
    <n v="13"/>
    <n v="3"/>
    <n v="2"/>
    <n v="80"/>
    <n v="1"/>
    <n v="13"/>
    <n v="3"/>
    <x v="1"/>
    <n v="8"/>
    <n v="7"/>
    <n v="0"/>
    <n v="7"/>
    <x v="0"/>
    <x v="1"/>
  </r>
  <r>
    <n v="24"/>
    <x v="1"/>
    <x v="0"/>
    <n v="1206"/>
    <x v="1"/>
    <n v="17"/>
    <n v="1"/>
    <s v="Medical"/>
    <n v="1"/>
    <n v="1009"/>
    <n v="4"/>
    <s v="Female"/>
    <n v="41"/>
    <n v="2"/>
    <n v="2"/>
    <x v="3"/>
    <n v="3"/>
    <x v="2"/>
    <n v="4377"/>
    <n v="24117"/>
    <n v="1"/>
    <s v="Y"/>
    <x v="1"/>
    <n v="15"/>
    <n v="3"/>
    <n v="2"/>
    <n v="80"/>
    <n v="2"/>
    <n v="5"/>
    <n v="6"/>
    <x v="1"/>
    <n v="4"/>
    <n v="2"/>
    <n v="3"/>
    <n v="2"/>
    <x v="1"/>
    <x v="1"/>
  </r>
  <r>
    <n v="35"/>
    <x v="0"/>
    <x v="0"/>
    <n v="622"/>
    <x v="1"/>
    <n v="14"/>
    <n v="4"/>
    <s v="Other"/>
    <n v="1"/>
    <n v="1010"/>
    <n v="3"/>
    <s v="Male"/>
    <n v="39"/>
    <n v="2"/>
    <n v="1"/>
    <x v="2"/>
    <n v="2"/>
    <x v="2"/>
    <n v="3743"/>
    <n v="10074"/>
    <n v="1"/>
    <s v="Y"/>
    <x v="0"/>
    <n v="24"/>
    <n v="4"/>
    <n v="4"/>
    <n v="80"/>
    <n v="1"/>
    <n v="5"/>
    <n v="2"/>
    <x v="0"/>
    <n v="4"/>
    <n v="2"/>
    <n v="0"/>
    <n v="2"/>
    <x v="0"/>
    <x v="0"/>
  </r>
  <r>
    <n v="31"/>
    <x v="1"/>
    <x v="1"/>
    <n v="853"/>
    <x v="1"/>
    <n v="1"/>
    <n v="1"/>
    <s v="Life Sciences"/>
    <n v="1"/>
    <n v="1011"/>
    <n v="3"/>
    <s v="Female"/>
    <n v="96"/>
    <n v="3"/>
    <n v="2"/>
    <x v="3"/>
    <n v="1"/>
    <x v="1"/>
    <n v="4148"/>
    <n v="11275"/>
    <n v="1"/>
    <s v="Y"/>
    <x v="1"/>
    <n v="12"/>
    <n v="3"/>
    <n v="3"/>
    <n v="80"/>
    <n v="1"/>
    <n v="4"/>
    <n v="1"/>
    <x v="1"/>
    <n v="4"/>
    <n v="3"/>
    <n v="0"/>
    <n v="3"/>
    <x v="0"/>
    <x v="1"/>
  </r>
  <r>
    <n v="18"/>
    <x v="1"/>
    <x v="2"/>
    <n v="287"/>
    <x v="1"/>
    <n v="5"/>
    <n v="2"/>
    <s v="Life Sciences"/>
    <n v="1"/>
    <n v="1012"/>
    <n v="2"/>
    <s v="Male"/>
    <n v="73"/>
    <n v="3"/>
    <n v="1"/>
    <x v="1"/>
    <n v="4"/>
    <x v="0"/>
    <n v="1051"/>
    <n v="13493"/>
    <n v="1"/>
    <s v="Y"/>
    <x v="1"/>
    <n v="15"/>
    <n v="3"/>
    <n v="4"/>
    <n v="80"/>
    <n v="0"/>
    <n v="0"/>
    <n v="2"/>
    <x v="1"/>
    <n v="0"/>
    <n v="0"/>
    <n v="0"/>
    <n v="0"/>
    <x v="1"/>
    <x v="1"/>
  </r>
  <r>
    <n v="54"/>
    <x v="1"/>
    <x v="0"/>
    <n v="1441"/>
    <x v="1"/>
    <n v="17"/>
    <n v="3"/>
    <s v="Technical Degree"/>
    <n v="1"/>
    <n v="1013"/>
    <n v="3"/>
    <s v="Female"/>
    <n v="56"/>
    <n v="3"/>
    <n v="3"/>
    <x v="3"/>
    <n v="3"/>
    <x v="1"/>
    <n v="10739"/>
    <n v="13943"/>
    <n v="8"/>
    <s v="Y"/>
    <x v="1"/>
    <n v="11"/>
    <n v="3"/>
    <n v="3"/>
    <n v="80"/>
    <n v="1"/>
    <n v="22"/>
    <n v="2"/>
    <x v="1"/>
    <n v="10"/>
    <n v="7"/>
    <n v="0"/>
    <n v="8"/>
    <x v="2"/>
    <x v="1"/>
  </r>
  <r>
    <n v="35"/>
    <x v="1"/>
    <x v="0"/>
    <n v="583"/>
    <x v="1"/>
    <n v="25"/>
    <n v="4"/>
    <s v="Medical"/>
    <n v="1"/>
    <n v="1014"/>
    <n v="3"/>
    <s v="Female"/>
    <n v="57"/>
    <n v="3"/>
    <n v="3"/>
    <x v="4"/>
    <n v="3"/>
    <x v="2"/>
    <n v="10388"/>
    <n v="6975"/>
    <n v="1"/>
    <s v="Y"/>
    <x v="0"/>
    <n v="11"/>
    <n v="3"/>
    <n v="3"/>
    <n v="80"/>
    <n v="1"/>
    <n v="16"/>
    <n v="3"/>
    <x v="2"/>
    <n v="16"/>
    <n v="10"/>
    <n v="10"/>
    <n v="1"/>
    <x v="0"/>
    <x v="2"/>
  </r>
  <r>
    <n v="30"/>
    <x v="1"/>
    <x v="0"/>
    <n v="153"/>
    <x v="1"/>
    <n v="8"/>
    <n v="2"/>
    <s v="Life Sciences"/>
    <n v="1"/>
    <n v="1015"/>
    <n v="2"/>
    <s v="Female"/>
    <n v="73"/>
    <n v="4"/>
    <n v="3"/>
    <x v="7"/>
    <n v="1"/>
    <x v="1"/>
    <n v="11416"/>
    <n v="17802"/>
    <n v="0"/>
    <s v="Y"/>
    <x v="0"/>
    <n v="12"/>
    <n v="3"/>
    <n v="3"/>
    <n v="80"/>
    <n v="3"/>
    <n v="9"/>
    <n v="4"/>
    <x v="2"/>
    <n v="8"/>
    <n v="7"/>
    <n v="1"/>
    <n v="7"/>
    <x v="1"/>
    <x v="2"/>
  </r>
  <r>
    <n v="20"/>
    <x v="0"/>
    <x v="0"/>
    <n v="1097"/>
    <x v="1"/>
    <n v="11"/>
    <n v="3"/>
    <s v="Medical"/>
    <n v="1"/>
    <n v="1016"/>
    <n v="4"/>
    <s v="Female"/>
    <n v="98"/>
    <n v="2"/>
    <n v="1"/>
    <x v="1"/>
    <n v="1"/>
    <x v="0"/>
    <n v="2600"/>
    <n v="18275"/>
    <n v="1"/>
    <s v="Y"/>
    <x v="0"/>
    <n v="15"/>
    <n v="3"/>
    <n v="1"/>
    <n v="80"/>
    <n v="0"/>
    <n v="1"/>
    <n v="2"/>
    <x v="1"/>
    <n v="1"/>
    <n v="0"/>
    <n v="0"/>
    <n v="0"/>
    <x v="1"/>
    <x v="1"/>
  </r>
  <r>
    <n v="30"/>
    <x v="0"/>
    <x v="1"/>
    <n v="109"/>
    <x v="1"/>
    <n v="5"/>
    <n v="3"/>
    <s v="Medical"/>
    <n v="1"/>
    <n v="1017"/>
    <n v="2"/>
    <s v="Female"/>
    <n v="60"/>
    <n v="3"/>
    <n v="1"/>
    <x v="2"/>
    <n v="2"/>
    <x v="0"/>
    <n v="2422"/>
    <n v="25725"/>
    <n v="0"/>
    <s v="Y"/>
    <x v="1"/>
    <n v="17"/>
    <n v="3"/>
    <n v="1"/>
    <n v="80"/>
    <n v="0"/>
    <n v="4"/>
    <n v="3"/>
    <x v="1"/>
    <n v="3"/>
    <n v="2"/>
    <n v="1"/>
    <n v="2"/>
    <x v="1"/>
    <x v="1"/>
  </r>
  <r>
    <n v="26"/>
    <x v="1"/>
    <x v="0"/>
    <n v="1066"/>
    <x v="1"/>
    <n v="2"/>
    <n v="2"/>
    <s v="Medical"/>
    <n v="1"/>
    <n v="1018"/>
    <n v="4"/>
    <s v="Male"/>
    <n v="32"/>
    <n v="4"/>
    <n v="2"/>
    <x v="3"/>
    <n v="4"/>
    <x v="1"/>
    <n v="5472"/>
    <n v="3334"/>
    <n v="1"/>
    <s v="Y"/>
    <x v="1"/>
    <n v="12"/>
    <n v="3"/>
    <n v="2"/>
    <n v="80"/>
    <n v="0"/>
    <n v="8"/>
    <n v="2"/>
    <x v="1"/>
    <n v="8"/>
    <n v="7"/>
    <n v="1"/>
    <n v="3"/>
    <x v="1"/>
    <x v="1"/>
  </r>
  <r>
    <n v="22"/>
    <x v="1"/>
    <x v="0"/>
    <n v="217"/>
    <x v="1"/>
    <n v="8"/>
    <n v="1"/>
    <s v="Life Sciences"/>
    <n v="1"/>
    <n v="1019"/>
    <n v="2"/>
    <s v="Male"/>
    <n v="94"/>
    <n v="1"/>
    <n v="1"/>
    <x v="2"/>
    <n v="1"/>
    <x v="1"/>
    <n v="2451"/>
    <n v="6881"/>
    <n v="1"/>
    <s v="Y"/>
    <x v="1"/>
    <n v="15"/>
    <n v="3"/>
    <n v="1"/>
    <n v="80"/>
    <n v="1"/>
    <n v="4"/>
    <n v="3"/>
    <x v="2"/>
    <n v="4"/>
    <n v="3"/>
    <n v="1"/>
    <n v="1"/>
    <x v="1"/>
    <x v="2"/>
  </r>
  <r>
    <n v="48"/>
    <x v="1"/>
    <x v="0"/>
    <n v="277"/>
    <x v="1"/>
    <n v="6"/>
    <n v="3"/>
    <s v="Life Sciences"/>
    <n v="1"/>
    <n v="1022"/>
    <n v="1"/>
    <s v="Male"/>
    <n v="97"/>
    <n v="2"/>
    <n v="2"/>
    <x v="4"/>
    <n v="3"/>
    <x v="0"/>
    <n v="4240"/>
    <n v="13119"/>
    <n v="2"/>
    <s v="Y"/>
    <x v="1"/>
    <n v="13"/>
    <n v="3"/>
    <n v="4"/>
    <n v="80"/>
    <n v="0"/>
    <n v="19"/>
    <n v="0"/>
    <x v="1"/>
    <n v="2"/>
    <n v="2"/>
    <n v="2"/>
    <n v="2"/>
    <x v="0"/>
    <x v="1"/>
  </r>
  <r>
    <n v="48"/>
    <x v="1"/>
    <x v="0"/>
    <n v="1355"/>
    <x v="1"/>
    <n v="4"/>
    <n v="4"/>
    <s v="Life Sciences"/>
    <n v="1"/>
    <n v="1024"/>
    <n v="3"/>
    <s v="Male"/>
    <n v="78"/>
    <n v="2"/>
    <n v="3"/>
    <x v="4"/>
    <n v="3"/>
    <x v="0"/>
    <n v="10999"/>
    <n v="22245"/>
    <n v="7"/>
    <s v="Y"/>
    <x v="1"/>
    <n v="14"/>
    <n v="3"/>
    <n v="2"/>
    <n v="80"/>
    <n v="0"/>
    <n v="27"/>
    <n v="3"/>
    <x v="1"/>
    <n v="15"/>
    <n v="11"/>
    <n v="4"/>
    <n v="8"/>
    <x v="0"/>
    <x v="1"/>
  </r>
  <r>
    <n v="41"/>
    <x v="1"/>
    <x v="0"/>
    <n v="549"/>
    <x v="1"/>
    <n v="7"/>
    <n v="2"/>
    <s v="Medical"/>
    <n v="1"/>
    <n v="1025"/>
    <n v="4"/>
    <s v="Female"/>
    <n v="42"/>
    <n v="3"/>
    <n v="2"/>
    <x v="3"/>
    <n v="3"/>
    <x v="0"/>
    <n v="5003"/>
    <n v="23371"/>
    <n v="6"/>
    <s v="Y"/>
    <x v="1"/>
    <n v="14"/>
    <n v="3"/>
    <n v="2"/>
    <n v="80"/>
    <n v="0"/>
    <n v="8"/>
    <n v="6"/>
    <x v="1"/>
    <n v="2"/>
    <n v="2"/>
    <n v="2"/>
    <n v="1"/>
    <x v="0"/>
    <x v="1"/>
  </r>
  <r>
    <n v="39"/>
    <x v="1"/>
    <x v="0"/>
    <n v="466"/>
    <x v="1"/>
    <n v="1"/>
    <n v="1"/>
    <s v="Life Sciences"/>
    <n v="1"/>
    <n v="1026"/>
    <n v="4"/>
    <s v="Female"/>
    <n v="65"/>
    <n v="2"/>
    <n v="4"/>
    <x v="3"/>
    <n v="4"/>
    <x v="1"/>
    <n v="12742"/>
    <n v="7060"/>
    <n v="1"/>
    <s v="Y"/>
    <x v="1"/>
    <n v="16"/>
    <n v="3"/>
    <n v="3"/>
    <n v="80"/>
    <n v="1"/>
    <n v="21"/>
    <n v="3"/>
    <x v="1"/>
    <n v="21"/>
    <n v="6"/>
    <n v="11"/>
    <n v="8"/>
    <x v="0"/>
    <x v="1"/>
  </r>
  <r>
    <n v="27"/>
    <x v="1"/>
    <x v="0"/>
    <n v="1055"/>
    <x v="1"/>
    <n v="2"/>
    <n v="4"/>
    <s v="Life Sciences"/>
    <n v="1"/>
    <n v="1027"/>
    <n v="1"/>
    <s v="Female"/>
    <n v="47"/>
    <n v="3"/>
    <n v="2"/>
    <x v="3"/>
    <n v="4"/>
    <x v="1"/>
    <n v="4227"/>
    <n v="4658"/>
    <n v="0"/>
    <s v="Y"/>
    <x v="1"/>
    <n v="18"/>
    <n v="3"/>
    <n v="2"/>
    <n v="80"/>
    <n v="1"/>
    <n v="4"/>
    <n v="2"/>
    <x v="1"/>
    <n v="3"/>
    <n v="2"/>
    <n v="2"/>
    <n v="2"/>
    <x v="1"/>
    <x v="1"/>
  </r>
  <r>
    <n v="35"/>
    <x v="1"/>
    <x v="0"/>
    <n v="802"/>
    <x v="1"/>
    <n v="10"/>
    <n v="3"/>
    <s v="Other"/>
    <n v="1"/>
    <n v="1028"/>
    <n v="2"/>
    <s v="Male"/>
    <n v="45"/>
    <n v="3"/>
    <n v="1"/>
    <x v="2"/>
    <n v="4"/>
    <x v="2"/>
    <n v="3917"/>
    <n v="9541"/>
    <n v="1"/>
    <s v="Y"/>
    <x v="1"/>
    <n v="20"/>
    <n v="4"/>
    <n v="1"/>
    <n v="80"/>
    <n v="1"/>
    <n v="3"/>
    <n v="4"/>
    <x v="2"/>
    <n v="3"/>
    <n v="2"/>
    <n v="1"/>
    <n v="2"/>
    <x v="0"/>
    <x v="2"/>
  </r>
  <r>
    <n v="42"/>
    <x v="1"/>
    <x v="0"/>
    <n v="265"/>
    <x v="0"/>
    <n v="5"/>
    <n v="2"/>
    <s v="Marketing"/>
    <n v="1"/>
    <n v="1029"/>
    <n v="4"/>
    <s v="Male"/>
    <n v="90"/>
    <n v="3"/>
    <n v="5"/>
    <x v="5"/>
    <n v="3"/>
    <x v="1"/>
    <n v="18303"/>
    <n v="7770"/>
    <n v="6"/>
    <s v="Y"/>
    <x v="1"/>
    <n v="13"/>
    <n v="3"/>
    <n v="2"/>
    <n v="80"/>
    <n v="0"/>
    <n v="21"/>
    <n v="3"/>
    <x v="3"/>
    <n v="1"/>
    <n v="0"/>
    <n v="0"/>
    <n v="0"/>
    <x v="0"/>
    <x v="3"/>
  </r>
  <r>
    <n v="50"/>
    <x v="1"/>
    <x v="0"/>
    <n v="804"/>
    <x v="1"/>
    <n v="9"/>
    <n v="3"/>
    <s v="Life Sciences"/>
    <n v="1"/>
    <n v="1030"/>
    <n v="1"/>
    <s v="Male"/>
    <n v="64"/>
    <n v="3"/>
    <n v="1"/>
    <x v="2"/>
    <n v="4"/>
    <x v="1"/>
    <n v="2380"/>
    <n v="20165"/>
    <n v="4"/>
    <s v="Y"/>
    <x v="1"/>
    <n v="18"/>
    <n v="3"/>
    <n v="2"/>
    <n v="80"/>
    <n v="0"/>
    <n v="8"/>
    <n v="5"/>
    <x v="1"/>
    <n v="1"/>
    <n v="0"/>
    <n v="0"/>
    <n v="0"/>
    <x v="0"/>
    <x v="1"/>
  </r>
  <r>
    <n v="59"/>
    <x v="1"/>
    <x v="0"/>
    <n v="715"/>
    <x v="1"/>
    <n v="2"/>
    <n v="3"/>
    <s v="Life Sciences"/>
    <n v="1"/>
    <n v="1032"/>
    <n v="3"/>
    <s v="Female"/>
    <n v="69"/>
    <n v="2"/>
    <n v="4"/>
    <x v="3"/>
    <n v="4"/>
    <x v="0"/>
    <n v="13726"/>
    <n v="21829"/>
    <n v="3"/>
    <s v="Y"/>
    <x v="0"/>
    <n v="13"/>
    <n v="3"/>
    <n v="1"/>
    <n v="80"/>
    <n v="0"/>
    <n v="30"/>
    <n v="4"/>
    <x v="1"/>
    <n v="5"/>
    <n v="3"/>
    <n v="4"/>
    <n v="3"/>
    <x v="2"/>
    <x v="1"/>
  </r>
  <r>
    <n v="37"/>
    <x v="0"/>
    <x v="0"/>
    <n v="1141"/>
    <x v="1"/>
    <n v="11"/>
    <n v="2"/>
    <s v="Medical"/>
    <n v="1"/>
    <n v="1033"/>
    <n v="1"/>
    <s v="Female"/>
    <n v="61"/>
    <n v="1"/>
    <n v="2"/>
    <x v="4"/>
    <n v="2"/>
    <x v="1"/>
    <n v="4777"/>
    <n v="14382"/>
    <n v="5"/>
    <s v="Y"/>
    <x v="1"/>
    <n v="15"/>
    <n v="3"/>
    <n v="1"/>
    <n v="80"/>
    <n v="0"/>
    <n v="15"/>
    <n v="2"/>
    <x v="0"/>
    <n v="1"/>
    <n v="0"/>
    <n v="0"/>
    <n v="0"/>
    <x v="0"/>
    <x v="0"/>
  </r>
  <r>
    <n v="55"/>
    <x v="1"/>
    <x v="1"/>
    <n v="135"/>
    <x v="1"/>
    <n v="18"/>
    <n v="4"/>
    <s v="Medical"/>
    <n v="1"/>
    <n v="1034"/>
    <n v="3"/>
    <s v="Male"/>
    <n v="62"/>
    <n v="3"/>
    <n v="2"/>
    <x v="4"/>
    <n v="2"/>
    <x v="1"/>
    <n v="6385"/>
    <n v="12992"/>
    <n v="3"/>
    <s v="Y"/>
    <x v="0"/>
    <n v="14"/>
    <n v="3"/>
    <n v="4"/>
    <n v="80"/>
    <n v="2"/>
    <n v="17"/>
    <n v="3"/>
    <x v="1"/>
    <n v="8"/>
    <n v="7"/>
    <n v="6"/>
    <n v="7"/>
    <x v="2"/>
    <x v="1"/>
  </r>
  <r>
    <n v="41"/>
    <x v="1"/>
    <x v="2"/>
    <n v="247"/>
    <x v="1"/>
    <n v="7"/>
    <n v="1"/>
    <s v="Life Sciences"/>
    <n v="1"/>
    <n v="1035"/>
    <n v="2"/>
    <s v="Female"/>
    <n v="55"/>
    <n v="1"/>
    <n v="5"/>
    <x v="7"/>
    <n v="3"/>
    <x v="2"/>
    <n v="19973"/>
    <n v="20284"/>
    <n v="1"/>
    <s v="Y"/>
    <x v="1"/>
    <n v="22"/>
    <n v="4"/>
    <n v="2"/>
    <n v="80"/>
    <n v="2"/>
    <n v="21"/>
    <n v="3"/>
    <x v="1"/>
    <n v="21"/>
    <n v="16"/>
    <n v="5"/>
    <n v="10"/>
    <x v="0"/>
    <x v="1"/>
  </r>
  <r>
    <n v="38"/>
    <x v="1"/>
    <x v="0"/>
    <n v="1035"/>
    <x v="0"/>
    <n v="3"/>
    <n v="4"/>
    <s v="Life Sciences"/>
    <n v="1"/>
    <n v="1036"/>
    <n v="2"/>
    <s v="Male"/>
    <n v="42"/>
    <n v="3"/>
    <n v="2"/>
    <x v="0"/>
    <n v="4"/>
    <x v="0"/>
    <n v="6861"/>
    <n v="4981"/>
    <n v="8"/>
    <s v="Y"/>
    <x v="0"/>
    <n v="12"/>
    <n v="3"/>
    <n v="3"/>
    <n v="80"/>
    <n v="0"/>
    <n v="19"/>
    <n v="1"/>
    <x v="1"/>
    <n v="1"/>
    <n v="0"/>
    <n v="0"/>
    <n v="0"/>
    <x v="0"/>
    <x v="1"/>
  </r>
  <r>
    <n v="26"/>
    <x v="0"/>
    <x v="2"/>
    <n v="265"/>
    <x v="0"/>
    <n v="29"/>
    <n v="2"/>
    <s v="Medical"/>
    <n v="1"/>
    <n v="1037"/>
    <n v="2"/>
    <s v="Male"/>
    <n v="79"/>
    <n v="1"/>
    <n v="2"/>
    <x v="0"/>
    <n v="1"/>
    <x v="0"/>
    <n v="4969"/>
    <n v="21813"/>
    <n v="8"/>
    <s v="Y"/>
    <x v="1"/>
    <n v="18"/>
    <n v="3"/>
    <n v="4"/>
    <n v="80"/>
    <n v="0"/>
    <n v="7"/>
    <n v="6"/>
    <x v="1"/>
    <n v="2"/>
    <n v="2"/>
    <n v="2"/>
    <n v="2"/>
    <x v="1"/>
    <x v="1"/>
  </r>
  <r>
    <n v="52"/>
    <x v="0"/>
    <x v="0"/>
    <n v="266"/>
    <x v="0"/>
    <n v="2"/>
    <n v="1"/>
    <s v="Marketing"/>
    <n v="1"/>
    <n v="1038"/>
    <n v="1"/>
    <s v="Female"/>
    <n v="57"/>
    <n v="1"/>
    <n v="5"/>
    <x v="5"/>
    <n v="4"/>
    <x v="1"/>
    <n v="19845"/>
    <n v="25846"/>
    <n v="1"/>
    <s v="Y"/>
    <x v="1"/>
    <n v="15"/>
    <n v="3"/>
    <n v="4"/>
    <n v="80"/>
    <n v="1"/>
    <n v="33"/>
    <n v="3"/>
    <x v="1"/>
    <n v="32"/>
    <n v="14"/>
    <n v="6"/>
    <n v="9"/>
    <x v="2"/>
    <x v="1"/>
  </r>
  <r>
    <n v="44"/>
    <x v="1"/>
    <x v="0"/>
    <n v="1448"/>
    <x v="0"/>
    <n v="28"/>
    <n v="3"/>
    <s v="Medical"/>
    <n v="1"/>
    <n v="1039"/>
    <n v="4"/>
    <s v="Female"/>
    <n v="53"/>
    <n v="4"/>
    <n v="4"/>
    <x v="0"/>
    <n v="4"/>
    <x v="1"/>
    <n v="13320"/>
    <n v="11737"/>
    <n v="3"/>
    <s v="Y"/>
    <x v="0"/>
    <n v="18"/>
    <n v="3"/>
    <n v="3"/>
    <n v="80"/>
    <n v="1"/>
    <n v="23"/>
    <n v="2"/>
    <x v="1"/>
    <n v="12"/>
    <n v="11"/>
    <n v="11"/>
    <n v="11"/>
    <x v="0"/>
    <x v="1"/>
  </r>
  <r>
    <n v="50"/>
    <x v="1"/>
    <x v="2"/>
    <n v="145"/>
    <x v="0"/>
    <n v="1"/>
    <n v="3"/>
    <s v="Life Sciences"/>
    <n v="1"/>
    <n v="1040"/>
    <n v="4"/>
    <s v="Female"/>
    <n v="95"/>
    <n v="3"/>
    <n v="2"/>
    <x v="0"/>
    <n v="3"/>
    <x v="1"/>
    <n v="6347"/>
    <n v="24920"/>
    <n v="0"/>
    <s v="Y"/>
    <x v="1"/>
    <n v="12"/>
    <n v="3"/>
    <n v="1"/>
    <n v="80"/>
    <n v="1"/>
    <n v="19"/>
    <n v="3"/>
    <x v="1"/>
    <n v="18"/>
    <n v="7"/>
    <n v="0"/>
    <n v="13"/>
    <x v="0"/>
    <x v="1"/>
  </r>
  <r>
    <n v="36"/>
    <x v="0"/>
    <x v="0"/>
    <n v="885"/>
    <x v="1"/>
    <n v="16"/>
    <n v="4"/>
    <s v="Life Sciences"/>
    <n v="1"/>
    <n v="1042"/>
    <n v="3"/>
    <s v="Female"/>
    <n v="43"/>
    <n v="4"/>
    <n v="1"/>
    <x v="2"/>
    <n v="1"/>
    <x v="0"/>
    <n v="2743"/>
    <n v="8269"/>
    <n v="1"/>
    <s v="Y"/>
    <x v="1"/>
    <n v="16"/>
    <n v="3"/>
    <n v="3"/>
    <n v="80"/>
    <n v="0"/>
    <n v="18"/>
    <n v="1"/>
    <x v="1"/>
    <n v="17"/>
    <n v="13"/>
    <n v="15"/>
    <n v="14"/>
    <x v="0"/>
    <x v="1"/>
  </r>
  <r>
    <n v="39"/>
    <x v="1"/>
    <x v="1"/>
    <n v="945"/>
    <x v="1"/>
    <n v="22"/>
    <n v="3"/>
    <s v="Medical"/>
    <n v="1"/>
    <n v="1043"/>
    <n v="4"/>
    <s v="Female"/>
    <n v="82"/>
    <n v="3"/>
    <n v="3"/>
    <x v="3"/>
    <n v="1"/>
    <x v="0"/>
    <n v="10880"/>
    <n v="5083"/>
    <n v="1"/>
    <s v="Y"/>
    <x v="0"/>
    <n v="13"/>
    <n v="3"/>
    <n v="3"/>
    <n v="80"/>
    <n v="0"/>
    <n v="21"/>
    <n v="2"/>
    <x v="1"/>
    <n v="21"/>
    <n v="6"/>
    <n v="2"/>
    <n v="8"/>
    <x v="0"/>
    <x v="1"/>
  </r>
  <r>
    <n v="33"/>
    <x v="1"/>
    <x v="2"/>
    <n v="1038"/>
    <x v="0"/>
    <n v="8"/>
    <n v="1"/>
    <s v="Life Sciences"/>
    <n v="1"/>
    <n v="1044"/>
    <n v="2"/>
    <s v="Female"/>
    <n v="88"/>
    <n v="2"/>
    <n v="1"/>
    <x v="6"/>
    <n v="4"/>
    <x v="0"/>
    <n v="2342"/>
    <n v="21437"/>
    <n v="0"/>
    <s v="Y"/>
    <x v="1"/>
    <n v="19"/>
    <n v="3"/>
    <n v="4"/>
    <n v="80"/>
    <n v="0"/>
    <n v="3"/>
    <n v="2"/>
    <x v="2"/>
    <n v="2"/>
    <n v="2"/>
    <n v="2"/>
    <n v="2"/>
    <x v="0"/>
    <x v="2"/>
  </r>
  <r>
    <n v="45"/>
    <x v="1"/>
    <x v="0"/>
    <n v="1234"/>
    <x v="0"/>
    <n v="11"/>
    <n v="2"/>
    <s v="Life Sciences"/>
    <n v="1"/>
    <n v="1045"/>
    <n v="4"/>
    <s v="Female"/>
    <n v="90"/>
    <n v="3"/>
    <n v="4"/>
    <x v="5"/>
    <n v="4"/>
    <x v="1"/>
    <n v="17650"/>
    <n v="5404"/>
    <n v="3"/>
    <s v="Y"/>
    <x v="1"/>
    <n v="13"/>
    <n v="3"/>
    <n v="2"/>
    <n v="80"/>
    <n v="1"/>
    <n v="26"/>
    <n v="4"/>
    <x v="3"/>
    <n v="9"/>
    <n v="3"/>
    <n v="1"/>
    <n v="1"/>
    <x v="0"/>
    <x v="3"/>
  </r>
  <r>
    <n v="32"/>
    <x v="1"/>
    <x v="2"/>
    <n v="1109"/>
    <x v="1"/>
    <n v="29"/>
    <n v="4"/>
    <s v="Medical"/>
    <n v="1"/>
    <n v="1046"/>
    <n v="4"/>
    <s v="Female"/>
    <n v="69"/>
    <n v="3"/>
    <n v="1"/>
    <x v="2"/>
    <n v="3"/>
    <x v="0"/>
    <n v="4025"/>
    <n v="11135"/>
    <n v="9"/>
    <s v="Y"/>
    <x v="1"/>
    <n v="12"/>
    <n v="3"/>
    <n v="2"/>
    <n v="80"/>
    <n v="0"/>
    <n v="10"/>
    <n v="2"/>
    <x v="1"/>
    <n v="8"/>
    <n v="7"/>
    <n v="7"/>
    <n v="7"/>
    <x v="0"/>
    <x v="1"/>
  </r>
  <r>
    <n v="34"/>
    <x v="1"/>
    <x v="0"/>
    <n v="216"/>
    <x v="0"/>
    <n v="1"/>
    <n v="4"/>
    <s v="Marketing"/>
    <n v="1"/>
    <n v="1047"/>
    <n v="2"/>
    <s v="Male"/>
    <n v="75"/>
    <n v="4"/>
    <n v="2"/>
    <x v="0"/>
    <n v="4"/>
    <x v="2"/>
    <n v="9725"/>
    <n v="12278"/>
    <n v="0"/>
    <s v="Y"/>
    <x v="1"/>
    <n v="11"/>
    <n v="3"/>
    <n v="4"/>
    <n v="80"/>
    <n v="1"/>
    <n v="16"/>
    <n v="2"/>
    <x v="2"/>
    <n v="15"/>
    <n v="1"/>
    <n v="0"/>
    <n v="9"/>
    <x v="0"/>
    <x v="2"/>
  </r>
  <r>
    <n v="59"/>
    <x v="1"/>
    <x v="0"/>
    <n v="1089"/>
    <x v="0"/>
    <n v="1"/>
    <n v="2"/>
    <s v="Technical Degree"/>
    <n v="1"/>
    <n v="1048"/>
    <n v="2"/>
    <s v="Male"/>
    <n v="66"/>
    <n v="3"/>
    <n v="3"/>
    <x v="5"/>
    <n v="4"/>
    <x v="1"/>
    <n v="11904"/>
    <n v="11038"/>
    <n v="3"/>
    <s v="Y"/>
    <x v="0"/>
    <n v="14"/>
    <n v="3"/>
    <n v="3"/>
    <n v="80"/>
    <n v="1"/>
    <n v="14"/>
    <n v="1"/>
    <x v="0"/>
    <n v="6"/>
    <n v="4"/>
    <n v="0"/>
    <n v="4"/>
    <x v="2"/>
    <x v="0"/>
  </r>
  <r>
    <n v="45"/>
    <x v="1"/>
    <x v="0"/>
    <n v="788"/>
    <x v="2"/>
    <n v="24"/>
    <n v="4"/>
    <s v="Medical"/>
    <n v="1"/>
    <n v="1049"/>
    <n v="2"/>
    <s v="Male"/>
    <n v="36"/>
    <n v="3"/>
    <n v="1"/>
    <x v="8"/>
    <n v="2"/>
    <x v="0"/>
    <n v="2177"/>
    <n v="8318"/>
    <n v="1"/>
    <s v="Y"/>
    <x v="1"/>
    <n v="16"/>
    <n v="3"/>
    <n v="1"/>
    <n v="80"/>
    <n v="0"/>
    <n v="6"/>
    <n v="3"/>
    <x v="1"/>
    <n v="6"/>
    <n v="3"/>
    <n v="0"/>
    <n v="4"/>
    <x v="0"/>
    <x v="1"/>
  </r>
  <r>
    <n v="53"/>
    <x v="1"/>
    <x v="1"/>
    <n v="124"/>
    <x v="0"/>
    <n v="2"/>
    <n v="3"/>
    <s v="Marketing"/>
    <n v="1"/>
    <n v="1050"/>
    <n v="3"/>
    <s v="Female"/>
    <n v="38"/>
    <n v="2"/>
    <n v="3"/>
    <x v="0"/>
    <n v="2"/>
    <x v="1"/>
    <n v="7525"/>
    <n v="23537"/>
    <n v="2"/>
    <s v="Y"/>
    <x v="1"/>
    <n v="12"/>
    <n v="3"/>
    <n v="1"/>
    <n v="80"/>
    <n v="1"/>
    <n v="30"/>
    <n v="2"/>
    <x v="1"/>
    <n v="15"/>
    <n v="7"/>
    <n v="6"/>
    <n v="12"/>
    <x v="2"/>
    <x v="1"/>
  </r>
  <r>
    <n v="36"/>
    <x v="0"/>
    <x v="0"/>
    <n v="660"/>
    <x v="1"/>
    <n v="15"/>
    <n v="3"/>
    <s v="Other"/>
    <n v="1"/>
    <n v="1052"/>
    <n v="1"/>
    <s v="Male"/>
    <n v="81"/>
    <n v="3"/>
    <n v="2"/>
    <x v="2"/>
    <n v="3"/>
    <x v="2"/>
    <n v="4834"/>
    <n v="7858"/>
    <n v="7"/>
    <s v="Y"/>
    <x v="1"/>
    <n v="14"/>
    <n v="3"/>
    <n v="2"/>
    <n v="80"/>
    <n v="1"/>
    <n v="9"/>
    <n v="3"/>
    <x v="2"/>
    <n v="1"/>
    <n v="0"/>
    <n v="0"/>
    <n v="0"/>
    <x v="0"/>
    <x v="2"/>
  </r>
  <r>
    <n v="26"/>
    <x v="0"/>
    <x v="1"/>
    <n v="342"/>
    <x v="1"/>
    <n v="2"/>
    <n v="3"/>
    <s v="Life Sciences"/>
    <n v="1"/>
    <n v="1053"/>
    <n v="1"/>
    <s v="Male"/>
    <n v="57"/>
    <n v="3"/>
    <n v="1"/>
    <x v="1"/>
    <n v="1"/>
    <x v="1"/>
    <n v="2042"/>
    <n v="15346"/>
    <n v="6"/>
    <s v="Y"/>
    <x v="0"/>
    <n v="14"/>
    <n v="3"/>
    <n v="2"/>
    <n v="80"/>
    <n v="1"/>
    <n v="6"/>
    <n v="2"/>
    <x v="1"/>
    <n v="3"/>
    <n v="2"/>
    <n v="1"/>
    <n v="2"/>
    <x v="1"/>
    <x v="1"/>
  </r>
  <r>
    <n v="34"/>
    <x v="1"/>
    <x v="0"/>
    <n v="1333"/>
    <x v="0"/>
    <n v="10"/>
    <n v="4"/>
    <s v="Life Sciences"/>
    <n v="1"/>
    <n v="1055"/>
    <n v="3"/>
    <s v="Female"/>
    <n v="87"/>
    <n v="3"/>
    <n v="1"/>
    <x v="6"/>
    <n v="3"/>
    <x v="1"/>
    <n v="2220"/>
    <n v="18410"/>
    <n v="1"/>
    <s v="Y"/>
    <x v="0"/>
    <n v="19"/>
    <n v="3"/>
    <n v="4"/>
    <n v="80"/>
    <n v="1"/>
    <n v="1"/>
    <n v="2"/>
    <x v="1"/>
    <n v="1"/>
    <n v="1"/>
    <n v="0"/>
    <n v="0"/>
    <x v="0"/>
    <x v="1"/>
  </r>
  <r>
    <n v="28"/>
    <x v="1"/>
    <x v="0"/>
    <n v="1144"/>
    <x v="0"/>
    <n v="10"/>
    <n v="1"/>
    <s v="Medical"/>
    <n v="1"/>
    <n v="1056"/>
    <n v="4"/>
    <s v="Male"/>
    <n v="74"/>
    <n v="3"/>
    <n v="1"/>
    <x v="6"/>
    <n v="2"/>
    <x v="1"/>
    <n v="1052"/>
    <n v="23384"/>
    <n v="1"/>
    <s v="Y"/>
    <x v="1"/>
    <n v="22"/>
    <n v="4"/>
    <n v="2"/>
    <n v="80"/>
    <n v="0"/>
    <n v="1"/>
    <n v="5"/>
    <x v="1"/>
    <n v="1"/>
    <n v="0"/>
    <n v="0"/>
    <n v="0"/>
    <x v="1"/>
    <x v="1"/>
  </r>
  <r>
    <n v="38"/>
    <x v="1"/>
    <x v="1"/>
    <n v="1186"/>
    <x v="1"/>
    <n v="3"/>
    <n v="4"/>
    <s v="Other"/>
    <n v="1"/>
    <n v="1060"/>
    <n v="3"/>
    <s v="Male"/>
    <n v="44"/>
    <n v="3"/>
    <n v="1"/>
    <x v="1"/>
    <n v="3"/>
    <x v="1"/>
    <n v="2821"/>
    <n v="2997"/>
    <n v="3"/>
    <s v="Y"/>
    <x v="1"/>
    <n v="16"/>
    <n v="3"/>
    <n v="1"/>
    <n v="80"/>
    <n v="1"/>
    <n v="8"/>
    <n v="2"/>
    <x v="1"/>
    <n v="2"/>
    <n v="2"/>
    <n v="2"/>
    <n v="2"/>
    <x v="0"/>
    <x v="1"/>
  </r>
  <r>
    <n v="50"/>
    <x v="1"/>
    <x v="0"/>
    <n v="1464"/>
    <x v="1"/>
    <n v="2"/>
    <n v="4"/>
    <s v="Medical"/>
    <n v="1"/>
    <n v="1061"/>
    <n v="2"/>
    <s v="Male"/>
    <n v="62"/>
    <n v="3"/>
    <n v="5"/>
    <x v="7"/>
    <n v="3"/>
    <x v="1"/>
    <n v="19237"/>
    <n v="12853"/>
    <n v="2"/>
    <s v="Y"/>
    <x v="0"/>
    <n v="11"/>
    <n v="3"/>
    <n v="4"/>
    <n v="80"/>
    <n v="1"/>
    <n v="29"/>
    <n v="2"/>
    <x v="2"/>
    <n v="8"/>
    <n v="1"/>
    <n v="7"/>
    <n v="7"/>
    <x v="0"/>
    <x v="2"/>
  </r>
  <r>
    <n v="37"/>
    <x v="1"/>
    <x v="0"/>
    <n v="124"/>
    <x v="1"/>
    <n v="3"/>
    <n v="3"/>
    <s v="Other"/>
    <n v="1"/>
    <n v="1062"/>
    <n v="4"/>
    <s v="Female"/>
    <n v="35"/>
    <n v="3"/>
    <n v="2"/>
    <x v="4"/>
    <n v="2"/>
    <x v="0"/>
    <n v="4107"/>
    <n v="13848"/>
    <n v="3"/>
    <s v="Y"/>
    <x v="1"/>
    <n v="15"/>
    <n v="3"/>
    <n v="1"/>
    <n v="80"/>
    <n v="0"/>
    <n v="8"/>
    <n v="3"/>
    <x v="2"/>
    <n v="4"/>
    <n v="3"/>
    <n v="0"/>
    <n v="1"/>
    <x v="0"/>
    <x v="2"/>
  </r>
  <r>
    <n v="40"/>
    <x v="1"/>
    <x v="0"/>
    <n v="300"/>
    <x v="0"/>
    <n v="26"/>
    <n v="3"/>
    <s v="Marketing"/>
    <n v="1"/>
    <n v="1066"/>
    <n v="3"/>
    <s v="Male"/>
    <n v="74"/>
    <n v="3"/>
    <n v="2"/>
    <x v="0"/>
    <n v="1"/>
    <x v="1"/>
    <n v="8396"/>
    <n v="22217"/>
    <n v="1"/>
    <s v="Y"/>
    <x v="1"/>
    <n v="14"/>
    <n v="3"/>
    <n v="2"/>
    <n v="80"/>
    <n v="1"/>
    <n v="8"/>
    <n v="3"/>
    <x v="2"/>
    <n v="7"/>
    <n v="7"/>
    <n v="7"/>
    <n v="5"/>
    <x v="0"/>
    <x v="2"/>
  </r>
  <r>
    <n v="26"/>
    <x v="1"/>
    <x v="1"/>
    <n v="921"/>
    <x v="1"/>
    <n v="1"/>
    <n v="1"/>
    <s v="Medical"/>
    <n v="1"/>
    <n v="1068"/>
    <n v="1"/>
    <s v="Female"/>
    <n v="66"/>
    <n v="2"/>
    <n v="1"/>
    <x v="1"/>
    <n v="3"/>
    <x v="2"/>
    <n v="2007"/>
    <n v="25265"/>
    <n v="1"/>
    <s v="Y"/>
    <x v="1"/>
    <n v="13"/>
    <n v="3"/>
    <n v="3"/>
    <n v="80"/>
    <n v="2"/>
    <n v="5"/>
    <n v="5"/>
    <x v="1"/>
    <n v="5"/>
    <n v="3"/>
    <n v="1"/>
    <n v="3"/>
    <x v="1"/>
    <x v="1"/>
  </r>
  <r>
    <n v="46"/>
    <x v="1"/>
    <x v="0"/>
    <n v="430"/>
    <x v="1"/>
    <n v="1"/>
    <n v="4"/>
    <s v="Medical"/>
    <n v="1"/>
    <n v="1069"/>
    <n v="4"/>
    <s v="Male"/>
    <n v="40"/>
    <n v="3"/>
    <n v="5"/>
    <x v="7"/>
    <n v="4"/>
    <x v="2"/>
    <n v="19627"/>
    <n v="21445"/>
    <n v="9"/>
    <s v="Y"/>
    <x v="1"/>
    <n v="17"/>
    <n v="3"/>
    <n v="4"/>
    <n v="80"/>
    <n v="2"/>
    <n v="23"/>
    <n v="0"/>
    <x v="1"/>
    <n v="2"/>
    <n v="2"/>
    <n v="2"/>
    <n v="2"/>
    <x v="0"/>
    <x v="1"/>
  </r>
  <r>
    <n v="54"/>
    <x v="1"/>
    <x v="0"/>
    <n v="1082"/>
    <x v="0"/>
    <n v="2"/>
    <n v="4"/>
    <s v="Life Sciences"/>
    <n v="1"/>
    <n v="1070"/>
    <n v="3"/>
    <s v="Female"/>
    <n v="41"/>
    <n v="2"/>
    <n v="3"/>
    <x v="0"/>
    <n v="3"/>
    <x v="1"/>
    <n v="10686"/>
    <n v="8392"/>
    <n v="6"/>
    <s v="Y"/>
    <x v="1"/>
    <n v="11"/>
    <n v="3"/>
    <n v="2"/>
    <n v="80"/>
    <n v="1"/>
    <n v="13"/>
    <n v="4"/>
    <x v="1"/>
    <n v="9"/>
    <n v="4"/>
    <n v="7"/>
    <n v="0"/>
    <x v="2"/>
    <x v="1"/>
  </r>
  <r>
    <n v="56"/>
    <x v="1"/>
    <x v="1"/>
    <n v="1240"/>
    <x v="1"/>
    <n v="9"/>
    <n v="3"/>
    <s v="Medical"/>
    <n v="1"/>
    <n v="1071"/>
    <n v="1"/>
    <s v="Female"/>
    <n v="63"/>
    <n v="3"/>
    <n v="1"/>
    <x v="1"/>
    <n v="3"/>
    <x v="1"/>
    <n v="2942"/>
    <n v="12154"/>
    <n v="2"/>
    <s v="Y"/>
    <x v="1"/>
    <n v="19"/>
    <n v="3"/>
    <n v="2"/>
    <n v="80"/>
    <n v="1"/>
    <n v="18"/>
    <n v="4"/>
    <x v="1"/>
    <n v="5"/>
    <n v="4"/>
    <n v="0"/>
    <n v="3"/>
    <x v="2"/>
    <x v="1"/>
  </r>
  <r>
    <n v="36"/>
    <x v="1"/>
    <x v="0"/>
    <n v="796"/>
    <x v="1"/>
    <n v="12"/>
    <n v="5"/>
    <s v="Medical"/>
    <n v="1"/>
    <n v="1073"/>
    <n v="4"/>
    <s v="Female"/>
    <n v="51"/>
    <n v="2"/>
    <n v="3"/>
    <x v="3"/>
    <n v="4"/>
    <x v="0"/>
    <n v="8858"/>
    <n v="15669"/>
    <n v="0"/>
    <s v="Y"/>
    <x v="1"/>
    <n v="11"/>
    <n v="3"/>
    <n v="2"/>
    <n v="80"/>
    <n v="0"/>
    <n v="15"/>
    <n v="2"/>
    <x v="2"/>
    <n v="14"/>
    <n v="8"/>
    <n v="7"/>
    <n v="8"/>
    <x v="0"/>
    <x v="2"/>
  </r>
  <r>
    <n v="55"/>
    <x v="1"/>
    <x v="2"/>
    <n v="444"/>
    <x v="1"/>
    <n v="2"/>
    <n v="1"/>
    <s v="Medical"/>
    <n v="1"/>
    <n v="1074"/>
    <n v="3"/>
    <s v="Male"/>
    <n v="40"/>
    <n v="2"/>
    <n v="4"/>
    <x v="5"/>
    <n v="1"/>
    <x v="0"/>
    <n v="16756"/>
    <n v="17323"/>
    <n v="7"/>
    <s v="Y"/>
    <x v="1"/>
    <n v="15"/>
    <n v="3"/>
    <n v="2"/>
    <n v="80"/>
    <n v="0"/>
    <n v="31"/>
    <n v="3"/>
    <x v="3"/>
    <n v="9"/>
    <n v="7"/>
    <n v="6"/>
    <n v="2"/>
    <x v="2"/>
    <x v="3"/>
  </r>
  <r>
    <n v="43"/>
    <x v="1"/>
    <x v="0"/>
    <n v="415"/>
    <x v="0"/>
    <n v="25"/>
    <n v="3"/>
    <s v="Medical"/>
    <n v="1"/>
    <n v="1076"/>
    <n v="3"/>
    <s v="Male"/>
    <n v="79"/>
    <n v="2"/>
    <n v="3"/>
    <x v="0"/>
    <n v="4"/>
    <x v="2"/>
    <n v="10798"/>
    <n v="5268"/>
    <n v="5"/>
    <s v="Y"/>
    <x v="1"/>
    <n v="13"/>
    <n v="3"/>
    <n v="3"/>
    <n v="80"/>
    <n v="1"/>
    <n v="18"/>
    <n v="5"/>
    <x v="1"/>
    <n v="1"/>
    <n v="0"/>
    <n v="0"/>
    <n v="0"/>
    <x v="0"/>
    <x v="1"/>
  </r>
  <r>
    <n v="20"/>
    <x v="0"/>
    <x v="1"/>
    <n v="769"/>
    <x v="0"/>
    <n v="9"/>
    <n v="3"/>
    <s v="Marketing"/>
    <n v="1"/>
    <n v="1077"/>
    <n v="4"/>
    <s v="Female"/>
    <n v="54"/>
    <n v="3"/>
    <n v="1"/>
    <x v="6"/>
    <n v="4"/>
    <x v="0"/>
    <n v="2323"/>
    <n v="17205"/>
    <n v="1"/>
    <s v="Y"/>
    <x v="0"/>
    <n v="14"/>
    <n v="3"/>
    <n v="2"/>
    <n v="80"/>
    <n v="0"/>
    <n v="2"/>
    <n v="3"/>
    <x v="1"/>
    <n v="2"/>
    <n v="2"/>
    <n v="0"/>
    <n v="2"/>
    <x v="1"/>
    <x v="1"/>
  </r>
  <r>
    <n v="21"/>
    <x v="0"/>
    <x v="0"/>
    <n v="1334"/>
    <x v="1"/>
    <n v="10"/>
    <n v="3"/>
    <s v="Life Sciences"/>
    <n v="1"/>
    <n v="1079"/>
    <n v="3"/>
    <s v="Female"/>
    <n v="36"/>
    <n v="2"/>
    <n v="1"/>
    <x v="2"/>
    <n v="1"/>
    <x v="0"/>
    <n v="1416"/>
    <n v="17258"/>
    <n v="1"/>
    <s v="Y"/>
    <x v="1"/>
    <n v="13"/>
    <n v="3"/>
    <n v="1"/>
    <n v="80"/>
    <n v="0"/>
    <n v="1"/>
    <n v="6"/>
    <x v="2"/>
    <n v="1"/>
    <n v="0"/>
    <n v="1"/>
    <n v="0"/>
    <x v="1"/>
    <x v="2"/>
  </r>
  <r>
    <n v="46"/>
    <x v="1"/>
    <x v="0"/>
    <n v="1003"/>
    <x v="1"/>
    <n v="8"/>
    <n v="4"/>
    <s v="Life Sciences"/>
    <n v="1"/>
    <n v="1080"/>
    <n v="4"/>
    <s v="Female"/>
    <n v="74"/>
    <n v="2"/>
    <n v="2"/>
    <x v="1"/>
    <n v="1"/>
    <x v="2"/>
    <n v="4615"/>
    <n v="21029"/>
    <n v="8"/>
    <s v="Y"/>
    <x v="0"/>
    <n v="23"/>
    <n v="4"/>
    <n v="1"/>
    <n v="80"/>
    <n v="3"/>
    <n v="19"/>
    <n v="2"/>
    <x v="1"/>
    <n v="16"/>
    <n v="13"/>
    <n v="1"/>
    <n v="7"/>
    <x v="0"/>
    <x v="1"/>
  </r>
  <r>
    <n v="51"/>
    <x v="0"/>
    <x v="0"/>
    <n v="1323"/>
    <x v="1"/>
    <n v="4"/>
    <n v="4"/>
    <s v="Life Sciences"/>
    <n v="1"/>
    <n v="1081"/>
    <n v="1"/>
    <s v="Male"/>
    <n v="34"/>
    <n v="3"/>
    <n v="1"/>
    <x v="1"/>
    <n v="3"/>
    <x v="1"/>
    <n v="2461"/>
    <n v="10332"/>
    <n v="9"/>
    <s v="Y"/>
    <x v="0"/>
    <n v="12"/>
    <n v="3"/>
    <n v="3"/>
    <n v="80"/>
    <n v="3"/>
    <n v="18"/>
    <n v="2"/>
    <x v="3"/>
    <n v="10"/>
    <n v="0"/>
    <n v="2"/>
    <n v="7"/>
    <x v="2"/>
    <x v="3"/>
  </r>
  <r>
    <n v="28"/>
    <x v="0"/>
    <x v="2"/>
    <n v="1366"/>
    <x v="1"/>
    <n v="24"/>
    <n v="2"/>
    <s v="Technical Degree"/>
    <n v="1"/>
    <n v="1082"/>
    <n v="2"/>
    <s v="Male"/>
    <n v="72"/>
    <n v="2"/>
    <n v="3"/>
    <x v="4"/>
    <n v="1"/>
    <x v="0"/>
    <n v="8722"/>
    <n v="12355"/>
    <n v="1"/>
    <s v="Y"/>
    <x v="1"/>
    <n v="12"/>
    <n v="3"/>
    <n v="1"/>
    <n v="80"/>
    <n v="0"/>
    <n v="10"/>
    <n v="2"/>
    <x v="2"/>
    <n v="10"/>
    <n v="7"/>
    <n v="1"/>
    <n v="9"/>
    <x v="1"/>
    <x v="2"/>
  </r>
  <r>
    <n v="26"/>
    <x v="1"/>
    <x v="0"/>
    <n v="192"/>
    <x v="1"/>
    <n v="1"/>
    <n v="2"/>
    <s v="Medical"/>
    <n v="1"/>
    <n v="1083"/>
    <n v="1"/>
    <s v="Male"/>
    <n v="59"/>
    <n v="2"/>
    <n v="1"/>
    <x v="2"/>
    <n v="1"/>
    <x v="1"/>
    <n v="3955"/>
    <n v="11141"/>
    <n v="1"/>
    <s v="Y"/>
    <x v="1"/>
    <n v="16"/>
    <n v="3"/>
    <n v="1"/>
    <n v="80"/>
    <n v="2"/>
    <n v="6"/>
    <n v="2"/>
    <x v="1"/>
    <n v="5"/>
    <n v="3"/>
    <n v="1"/>
    <n v="3"/>
    <x v="1"/>
    <x v="1"/>
  </r>
  <r>
    <n v="30"/>
    <x v="1"/>
    <x v="0"/>
    <n v="1176"/>
    <x v="1"/>
    <n v="20"/>
    <n v="3"/>
    <s v="Other"/>
    <n v="1"/>
    <n v="1084"/>
    <n v="3"/>
    <s v="Male"/>
    <n v="85"/>
    <n v="3"/>
    <n v="2"/>
    <x v="3"/>
    <n v="1"/>
    <x v="1"/>
    <n v="9957"/>
    <n v="9096"/>
    <n v="0"/>
    <s v="Y"/>
    <x v="1"/>
    <n v="15"/>
    <n v="3"/>
    <n v="3"/>
    <n v="80"/>
    <n v="1"/>
    <n v="7"/>
    <n v="1"/>
    <x v="2"/>
    <n v="6"/>
    <n v="2"/>
    <n v="0"/>
    <n v="2"/>
    <x v="1"/>
    <x v="2"/>
  </r>
  <r>
    <n v="41"/>
    <x v="1"/>
    <x v="0"/>
    <n v="509"/>
    <x v="1"/>
    <n v="7"/>
    <n v="2"/>
    <s v="Technical Degree"/>
    <n v="1"/>
    <n v="1085"/>
    <n v="2"/>
    <s v="Female"/>
    <n v="43"/>
    <n v="4"/>
    <n v="1"/>
    <x v="1"/>
    <n v="3"/>
    <x v="1"/>
    <n v="3376"/>
    <n v="18863"/>
    <n v="1"/>
    <s v="Y"/>
    <x v="1"/>
    <n v="13"/>
    <n v="3"/>
    <n v="3"/>
    <n v="80"/>
    <n v="0"/>
    <n v="10"/>
    <n v="3"/>
    <x v="1"/>
    <n v="10"/>
    <n v="6"/>
    <n v="0"/>
    <n v="8"/>
    <x v="0"/>
    <x v="1"/>
  </r>
  <r>
    <n v="38"/>
    <x v="1"/>
    <x v="0"/>
    <n v="330"/>
    <x v="1"/>
    <n v="17"/>
    <n v="1"/>
    <s v="Life Sciences"/>
    <n v="1"/>
    <n v="1088"/>
    <n v="3"/>
    <s v="Female"/>
    <n v="65"/>
    <n v="2"/>
    <n v="3"/>
    <x v="4"/>
    <n v="3"/>
    <x v="1"/>
    <n v="8823"/>
    <n v="24608"/>
    <n v="0"/>
    <s v="Y"/>
    <x v="1"/>
    <n v="18"/>
    <n v="3"/>
    <n v="1"/>
    <n v="80"/>
    <n v="1"/>
    <n v="20"/>
    <n v="4"/>
    <x v="2"/>
    <n v="19"/>
    <n v="9"/>
    <n v="1"/>
    <n v="9"/>
    <x v="0"/>
    <x v="2"/>
  </r>
  <r>
    <n v="40"/>
    <x v="1"/>
    <x v="0"/>
    <n v="1492"/>
    <x v="1"/>
    <n v="20"/>
    <n v="4"/>
    <s v="Technical Degree"/>
    <n v="1"/>
    <n v="1092"/>
    <n v="1"/>
    <s v="Male"/>
    <n v="61"/>
    <n v="3"/>
    <n v="3"/>
    <x v="4"/>
    <n v="4"/>
    <x v="1"/>
    <n v="10322"/>
    <n v="26542"/>
    <n v="4"/>
    <s v="Y"/>
    <x v="1"/>
    <n v="20"/>
    <n v="4"/>
    <n v="4"/>
    <n v="80"/>
    <n v="1"/>
    <n v="14"/>
    <n v="6"/>
    <x v="1"/>
    <n v="11"/>
    <n v="10"/>
    <n v="11"/>
    <n v="1"/>
    <x v="0"/>
    <x v="1"/>
  </r>
  <r>
    <n v="27"/>
    <x v="1"/>
    <x v="2"/>
    <n v="1277"/>
    <x v="1"/>
    <n v="8"/>
    <n v="5"/>
    <s v="Life Sciences"/>
    <n v="1"/>
    <n v="1094"/>
    <n v="1"/>
    <s v="Male"/>
    <n v="87"/>
    <n v="1"/>
    <n v="1"/>
    <x v="2"/>
    <n v="3"/>
    <x v="1"/>
    <n v="4621"/>
    <n v="5869"/>
    <n v="1"/>
    <s v="Y"/>
    <x v="1"/>
    <n v="19"/>
    <n v="3"/>
    <n v="4"/>
    <n v="80"/>
    <n v="3"/>
    <n v="3"/>
    <n v="4"/>
    <x v="1"/>
    <n v="3"/>
    <n v="2"/>
    <n v="1"/>
    <n v="2"/>
    <x v="1"/>
    <x v="1"/>
  </r>
  <r>
    <n v="55"/>
    <x v="1"/>
    <x v="1"/>
    <n v="1091"/>
    <x v="1"/>
    <n v="2"/>
    <n v="1"/>
    <s v="Life Sciences"/>
    <n v="1"/>
    <n v="1096"/>
    <n v="4"/>
    <s v="Male"/>
    <n v="65"/>
    <n v="3"/>
    <n v="3"/>
    <x v="3"/>
    <n v="2"/>
    <x v="1"/>
    <n v="10976"/>
    <n v="15813"/>
    <n v="3"/>
    <s v="Y"/>
    <x v="1"/>
    <n v="18"/>
    <n v="3"/>
    <n v="2"/>
    <n v="80"/>
    <n v="1"/>
    <n v="23"/>
    <n v="4"/>
    <x v="1"/>
    <n v="3"/>
    <n v="2"/>
    <n v="1"/>
    <n v="2"/>
    <x v="2"/>
    <x v="1"/>
  </r>
  <r>
    <n v="28"/>
    <x v="1"/>
    <x v="0"/>
    <n v="857"/>
    <x v="1"/>
    <n v="10"/>
    <n v="3"/>
    <s v="Other"/>
    <n v="1"/>
    <n v="1097"/>
    <n v="3"/>
    <s v="Female"/>
    <n v="59"/>
    <n v="3"/>
    <n v="2"/>
    <x v="1"/>
    <n v="3"/>
    <x v="0"/>
    <n v="3660"/>
    <n v="7909"/>
    <n v="3"/>
    <s v="Y"/>
    <x v="1"/>
    <n v="13"/>
    <n v="3"/>
    <n v="4"/>
    <n v="80"/>
    <n v="0"/>
    <n v="10"/>
    <n v="4"/>
    <x v="3"/>
    <n v="8"/>
    <n v="7"/>
    <n v="1"/>
    <n v="7"/>
    <x v="1"/>
    <x v="3"/>
  </r>
  <r>
    <n v="44"/>
    <x v="0"/>
    <x v="0"/>
    <n v="1376"/>
    <x v="2"/>
    <n v="1"/>
    <n v="2"/>
    <s v="Medical"/>
    <n v="1"/>
    <n v="1098"/>
    <n v="2"/>
    <s v="Male"/>
    <n v="91"/>
    <n v="2"/>
    <n v="3"/>
    <x v="8"/>
    <n v="1"/>
    <x v="1"/>
    <n v="10482"/>
    <n v="2326"/>
    <n v="9"/>
    <s v="Y"/>
    <x v="1"/>
    <n v="14"/>
    <n v="3"/>
    <n v="4"/>
    <n v="80"/>
    <n v="1"/>
    <n v="24"/>
    <n v="1"/>
    <x v="1"/>
    <n v="20"/>
    <n v="6"/>
    <n v="3"/>
    <n v="6"/>
    <x v="0"/>
    <x v="1"/>
  </r>
  <r>
    <n v="33"/>
    <x v="1"/>
    <x v="0"/>
    <n v="654"/>
    <x v="1"/>
    <n v="5"/>
    <n v="3"/>
    <s v="Life Sciences"/>
    <n v="1"/>
    <n v="1099"/>
    <n v="4"/>
    <s v="Male"/>
    <n v="34"/>
    <n v="2"/>
    <n v="3"/>
    <x v="4"/>
    <n v="4"/>
    <x v="2"/>
    <n v="7119"/>
    <n v="21214"/>
    <n v="4"/>
    <s v="Y"/>
    <x v="1"/>
    <n v="15"/>
    <n v="3"/>
    <n v="3"/>
    <n v="80"/>
    <n v="1"/>
    <n v="9"/>
    <n v="2"/>
    <x v="1"/>
    <n v="3"/>
    <n v="2"/>
    <n v="1"/>
    <n v="2"/>
    <x v="0"/>
    <x v="1"/>
  </r>
  <r>
    <n v="35"/>
    <x v="0"/>
    <x v="0"/>
    <n v="1204"/>
    <x v="0"/>
    <n v="4"/>
    <n v="3"/>
    <s v="Technical Degree"/>
    <n v="1"/>
    <n v="1100"/>
    <n v="4"/>
    <s v="Male"/>
    <n v="86"/>
    <n v="3"/>
    <n v="3"/>
    <x v="0"/>
    <n v="1"/>
    <x v="0"/>
    <n v="9582"/>
    <n v="10333"/>
    <n v="0"/>
    <s v="Y"/>
    <x v="0"/>
    <n v="22"/>
    <n v="4"/>
    <n v="1"/>
    <n v="80"/>
    <n v="0"/>
    <n v="9"/>
    <n v="2"/>
    <x v="1"/>
    <n v="8"/>
    <n v="7"/>
    <n v="4"/>
    <n v="7"/>
    <x v="0"/>
    <x v="1"/>
  </r>
  <r>
    <n v="33"/>
    <x v="0"/>
    <x v="1"/>
    <n v="827"/>
    <x v="1"/>
    <n v="29"/>
    <n v="4"/>
    <s v="Medical"/>
    <n v="1"/>
    <n v="1101"/>
    <n v="1"/>
    <s v="Female"/>
    <n v="54"/>
    <n v="2"/>
    <n v="2"/>
    <x v="1"/>
    <n v="3"/>
    <x v="0"/>
    <n v="4508"/>
    <n v="3129"/>
    <n v="1"/>
    <s v="Y"/>
    <x v="1"/>
    <n v="22"/>
    <n v="4"/>
    <n v="2"/>
    <n v="80"/>
    <n v="0"/>
    <n v="14"/>
    <n v="4"/>
    <x v="1"/>
    <n v="13"/>
    <n v="7"/>
    <n v="3"/>
    <n v="8"/>
    <x v="0"/>
    <x v="1"/>
  </r>
  <r>
    <n v="28"/>
    <x v="1"/>
    <x v="0"/>
    <n v="895"/>
    <x v="1"/>
    <n v="15"/>
    <n v="2"/>
    <s v="Life Sciences"/>
    <n v="1"/>
    <n v="1102"/>
    <n v="1"/>
    <s v="Male"/>
    <n v="50"/>
    <n v="3"/>
    <n v="1"/>
    <x v="2"/>
    <n v="3"/>
    <x v="2"/>
    <n v="2207"/>
    <n v="22482"/>
    <n v="1"/>
    <s v="Y"/>
    <x v="1"/>
    <n v="16"/>
    <n v="3"/>
    <n v="4"/>
    <n v="80"/>
    <n v="1"/>
    <n v="4"/>
    <n v="5"/>
    <x v="2"/>
    <n v="4"/>
    <n v="2"/>
    <n v="2"/>
    <n v="2"/>
    <x v="1"/>
    <x v="2"/>
  </r>
  <r>
    <n v="34"/>
    <x v="1"/>
    <x v="1"/>
    <n v="618"/>
    <x v="1"/>
    <n v="3"/>
    <n v="1"/>
    <s v="Life Sciences"/>
    <n v="1"/>
    <n v="1103"/>
    <n v="1"/>
    <s v="Male"/>
    <n v="45"/>
    <n v="3"/>
    <n v="2"/>
    <x v="4"/>
    <n v="4"/>
    <x v="0"/>
    <n v="7756"/>
    <n v="22266"/>
    <n v="0"/>
    <s v="Y"/>
    <x v="1"/>
    <n v="17"/>
    <n v="3"/>
    <n v="3"/>
    <n v="80"/>
    <n v="0"/>
    <n v="7"/>
    <n v="1"/>
    <x v="2"/>
    <n v="6"/>
    <n v="2"/>
    <n v="0"/>
    <n v="4"/>
    <x v="0"/>
    <x v="2"/>
  </r>
  <r>
    <n v="37"/>
    <x v="1"/>
    <x v="0"/>
    <n v="309"/>
    <x v="0"/>
    <n v="10"/>
    <n v="4"/>
    <s v="Life Sciences"/>
    <n v="1"/>
    <n v="1105"/>
    <n v="4"/>
    <s v="Female"/>
    <n v="88"/>
    <n v="2"/>
    <n v="2"/>
    <x v="0"/>
    <n v="4"/>
    <x v="2"/>
    <n v="6694"/>
    <n v="24223"/>
    <n v="2"/>
    <s v="Y"/>
    <x v="0"/>
    <n v="14"/>
    <n v="3"/>
    <n v="3"/>
    <n v="80"/>
    <n v="3"/>
    <n v="8"/>
    <n v="5"/>
    <x v="1"/>
    <n v="1"/>
    <n v="0"/>
    <n v="0"/>
    <n v="0"/>
    <x v="0"/>
    <x v="1"/>
  </r>
  <r>
    <n v="25"/>
    <x v="0"/>
    <x v="0"/>
    <n v="1219"/>
    <x v="1"/>
    <n v="4"/>
    <n v="1"/>
    <s v="Technical Degree"/>
    <n v="1"/>
    <n v="1106"/>
    <n v="4"/>
    <s v="Male"/>
    <n v="32"/>
    <n v="3"/>
    <n v="1"/>
    <x v="2"/>
    <n v="4"/>
    <x v="1"/>
    <n v="3691"/>
    <n v="4605"/>
    <n v="1"/>
    <s v="Y"/>
    <x v="0"/>
    <n v="15"/>
    <n v="3"/>
    <n v="2"/>
    <n v="80"/>
    <n v="1"/>
    <n v="7"/>
    <n v="3"/>
    <x v="3"/>
    <n v="7"/>
    <n v="7"/>
    <n v="5"/>
    <n v="6"/>
    <x v="1"/>
    <x v="3"/>
  </r>
  <r>
    <n v="26"/>
    <x v="0"/>
    <x v="0"/>
    <n v="1330"/>
    <x v="1"/>
    <n v="21"/>
    <n v="3"/>
    <s v="Medical"/>
    <n v="1"/>
    <n v="1107"/>
    <n v="1"/>
    <s v="Male"/>
    <n v="37"/>
    <n v="3"/>
    <n v="1"/>
    <x v="2"/>
    <n v="3"/>
    <x v="2"/>
    <n v="2377"/>
    <n v="19373"/>
    <n v="1"/>
    <s v="Y"/>
    <x v="1"/>
    <n v="20"/>
    <n v="4"/>
    <n v="3"/>
    <n v="80"/>
    <n v="1"/>
    <n v="1"/>
    <n v="0"/>
    <x v="2"/>
    <n v="1"/>
    <n v="1"/>
    <n v="0"/>
    <n v="0"/>
    <x v="1"/>
    <x v="2"/>
  </r>
  <r>
    <n v="33"/>
    <x v="0"/>
    <x v="0"/>
    <n v="1017"/>
    <x v="1"/>
    <n v="25"/>
    <n v="3"/>
    <s v="Medical"/>
    <n v="1"/>
    <n v="1108"/>
    <n v="1"/>
    <s v="Male"/>
    <n v="55"/>
    <n v="2"/>
    <n v="1"/>
    <x v="1"/>
    <n v="2"/>
    <x v="0"/>
    <n v="2313"/>
    <n v="2993"/>
    <n v="4"/>
    <s v="Y"/>
    <x v="0"/>
    <n v="20"/>
    <n v="4"/>
    <n v="2"/>
    <n v="80"/>
    <n v="0"/>
    <n v="5"/>
    <n v="0"/>
    <x v="1"/>
    <n v="2"/>
    <n v="2"/>
    <n v="2"/>
    <n v="2"/>
    <x v="0"/>
    <x v="1"/>
  </r>
  <r>
    <n v="42"/>
    <x v="1"/>
    <x v="0"/>
    <n v="469"/>
    <x v="1"/>
    <n v="2"/>
    <n v="2"/>
    <s v="Medical"/>
    <n v="1"/>
    <n v="1109"/>
    <n v="4"/>
    <s v="Male"/>
    <n v="35"/>
    <n v="3"/>
    <n v="4"/>
    <x v="5"/>
    <n v="1"/>
    <x v="1"/>
    <n v="17665"/>
    <n v="14399"/>
    <n v="0"/>
    <s v="Y"/>
    <x v="1"/>
    <n v="17"/>
    <n v="3"/>
    <n v="4"/>
    <n v="80"/>
    <n v="1"/>
    <n v="23"/>
    <n v="3"/>
    <x v="1"/>
    <n v="22"/>
    <n v="6"/>
    <n v="13"/>
    <n v="7"/>
    <x v="0"/>
    <x v="1"/>
  </r>
  <r>
    <n v="28"/>
    <x v="0"/>
    <x v="1"/>
    <n v="1009"/>
    <x v="1"/>
    <n v="1"/>
    <n v="3"/>
    <s v="Medical"/>
    <n v="1"/>
    <n v="1111"/>
    <n v="1"/>
    <s v="Male"/>
    <n v="45"/>
    <n v="2"/>
    <n v="1"/>
    <x v="2"/>
    <n v="2"/>
    <x v="2"/>
    <n v="2596"/>
    <n v="7160"/>
    <n v="1"/>
    <s v="Y"/>
    <x v="1"/>
    <n v="15"/>
    <n v="3"/>
    <n v="1"/>
    <n v="80"/>
    <n v="2"/>
    <n v="1"/>
    <n v="2"/>
    <x v="1"/>
    <n v="1"/>
    <n v="0"/>
    <n v="0"/>
    <n v="0"/>
    <x v="1"/>
    <x v="1"/>
  </r>
  <r>
    <n v="50"/>
    <x v="0"/>
    <x v="1"/>
    <n v="959"/>
    <x v="0"/>
    <n v="1"/>
    <n v="4"/>
    <s v="Other"/>
    <n v="1"/>
    <n v="1113"/>
    <n v="4"/>
    <s v="Male"/>
    <n v="81"/>
    <n v="3"/>
    <n v="2"/>
    <x v="0"/>
    <n v="3"/>
    <x v="0"/>
    <n v="4728"/>
    <n v="17251"/>
    <n v="3"/>
    <s v="Y"/>
    <x v="0"/>
    <n v="14"/>
    <n v="3"/>
    <n v="4"/>
    <n v="80"/>
    <n v="0"/>
    <n v="5"/>
    <n v="4"/>
    <x v="1"/>
    <n v="0"/>
    <n v="0"/>
    <n v="0"/>
    <n v="0"/>
    <x v="0"/>
    <x v="1"/>
  </r>
  <r>
    <n v="33"/>
    <x v="1"/>
    <x v="1"/>
    <n v="970"/>
    <x v="0"/>
    <n v="7"/>
    <n v="3"/>
    <s v="Life Sciences"/>
    <n v="1"/>
    <n v="1114"/>
    <n v="4"/>
    <s v="Female"/>
    <n v="30"/>
    <n v="3"/>
    <n v="2"/>
    <x v="0"/>
    <n v="2"/>
    <x v="1"/>
    <n v="4302"/>
    <n v="13401"/>
    <n v="0"/>
    <s v="Y"/>
    <x v="1"/>
    <n v="17"/>
    <n v="3"/>
    <n v="3"/>
    <n v="80"/>
    <n v="1"/>
    <n v="4"/>
    <n v="3"/>
    <x v="1"/>
    <n v="3"/>
    <n v="2"/>
    <n v="0"/>
    <n v="2"/>
    <x v="0"/>
    <x v="1"/>
  </r>
  <r>
    <n v="34"/>
    <x v="1"/>
    <x v="2"/>
    <n v="697"/>
    <x v="1"/>
    <n v="3"/>
    <n v="4"/>
    <s v="Life Sciences"/>
    <n v="1"/>
    <n v="1115"/>
    <n v="3"/>
    <s v="Male"/>
    <n v="40"/>
    <n v="2"/>
    <n v="1"/>
    <x v="1"/>
    <n v="4"/>
    <x v="1"/>
    <n v="2979"/>
    <n v="22478"/>
    <n v="3"/>
    <s v="Y"/>
    <x v="1"/>
    <n v="17"/>
    <n v="3"/>
    <n v="4"/>
    <n v="80"/>
    <n v="3"/>
    <n v="6"/>
    <n v="2"/>
    <x v="1"/>
    <n v="0"/>
    <n v="0"/>
    <n v="0"/>
    <n v="0"/>
    <x v="0"/>
    <x v="1"/>
  </r>
  <r>
    <n v="48"/>
    <x v="1"/>
    <x v="2"/>
    <n v="1262"/>
    <x v="1"/>
    <n v="1"/>
    <n v="4"/>
    <s v="Medical"/>
    <n v="1"/>
    <n v="1116"/>
    <n v="1"/>
    <s v="Male"/>
    <n v="35"/>
    <n v="4"/>
    <n v="4"/>
    <x v="5"/>
    <n v="4"/>
    <x v="0"/>
    <n v="16885"/>
    <n v="16154"/>
    <n v="2"/>
    <s v="Y"/>
    <x v="1"/>
    <n v="22"/>
    <n v="4"/>
    <n v="3"/>
    <n v="80"/>
    <n v="0"/>
    <n v="27"/>
    <n v="3"/>
    <x v="2"/>
    <n v="5"/>
    <n v="4"/>
    <n v="2"/>
    <n v="1"/>
    <x v="0"/>
    <x v="2"/>
  </r>
  <r>
    <n v="45"/>
    <x v="1"/>
    <x v="2"/>
    <n v="1050"/>
    <x v="0"/>
    <n v="9"/>
    <n v="4"/>
    <s v="Life Sciences"/>
    <n v="1"/>
    <n v="1117"/>
    <n v="2"/>
    <s v="Female"/>
    <n v="65"/>
    <n v="2"/>
    <n v="2"/>
    <x v="0"/>
    <n v="3"/>
    <x v="1"/>
    <n v="5593"/>
    <n v="17970"/>
    <n v="1"/>
    <s v="Y"/>
    <x v="1"/>
    <n v="13"/>
    <n v="3"/>
    <n v="4"/>
    <n v="80"/>
    <n v="1"/>
    <n v="15"/>
    <n v="2"/>
    <x v="1"/>
    <n v="15"/>
    <n v="10"/>
    <n v="4"/>
    <n v="12"/>
    <x v="0"/>
    <x v="1"/>
  </r>
  <r>
    <n v="52"/>
    <x v="1"/>
    <x v="0"/>
    <n v="994"/>
    <x v="1"/>
    <n v="7"/>
    <n v="4"/>
    <s v="Life Sciences"/>
    <n v="1"/>
    <n v="1118"/>
    <n v="2"/>
    <s v="Male"/>
    <n v="87"/>
    <n v="3"/>
    <n v="3"/>
    <x v="4"/>
    <n v="2"/>
    <x v="0"/>
    <n v="10445"/>
    <n v="15322"/>
    <n v="7"/>
    <s v="Y"/>
    <x v="1"/>
    <n v="19"/>
    <n v="3"/>
    <n v="4"/>
    <n v="80"/>
    <n v="0"/>
    <n v="18"/>
    <n v="4"/>
    <x v="1"/>
    <n v="8"/>
    <n v="6"/>
    <n v="4"/>
    <n v="0"/>
    <x v="2"/>
    <x v="1"/>
  </r>
  <r>
    <n v="38"/>
    <x v="1"/>
    <x v="0"/>
    <n v="770"/>
    <x v="0"/>
    <n v="10"/>
    <n v="4"/>
    <s v="Marketing"/>
    <n v="1"/>
    <n v="1119"/>
    <n v="3"/>
    <s v="Male"/>
    <n v="73"/>
    <n v="2"/>
    <n v="3"/>
    <x v="0"/>
    <n v="3"/>
    <x v="2"/>
    <n v="8740"/>
    <n v="5569"/>
    <n v="0"/>
    <s v="Y"/>
    <x v="0"/>
    <n v="14"/>
    <n v="3"/>
    <n v="2"/>
    <n v="80"/>
    <n v="2"/>
    <n v="9"/>
    <n v="2"/>
    <x v="1"/>
    <n v="8"/>
    <n v="7"/>
    <n v="2"/>
    <n v="7"/>
    <x v="0"/>
    <x v="1"/>
  </r>
  <r>
    <n v="29"/>
    <x v="1"/>
    <x v="0"/>
    <n v="1107"/>
    <x v="1"/>
    <n v="28"/>
    <n v="4"/>
    <s v="Life Sciences"/>
    <n v="1"/>
    <n v="1120"/>
    <n v="3"/>
    <s v="Female"/>
    <n v="93"/>
    <n v="3"/>
    <n v="1"/>
    <x v="1"/>
    <n v="4"/>
    <x v="2"/>
    <n v="2514"/>
    <n v="26968"/>
    <n v="4"/>
    <s v="Y"/>
    <x v="1"/>
    <n v="22"/>
    <n v="4"/>
    <n v="1"/>
    <n v="80"/>
    <n v="1"/>
    <n v="11"/>
    <n v="1"/>
    <x v="1"/>
    <n v="7"/>
    <n v="5"/>
    <n v="1"/>
    <n v="7"/>
    <x v="1"/>
    <x v="1"/>
  </r>
  <r>
    <n v="28"/>
    <x v="1"/>
    <x v="0"/>
    <n v="950"/>
    <x v="1"/>
    <n v="3"/>
    <n v="3"/>
    <s v="Medical"/>
    <n v="1"/>
    <n v="1121"/>
    <n v="4"/>
    <s v="Female"/>
    <n v="93"/>
    <n v="3"/>
    <n v="3"/>
    <x v="3"/>
    <n v="2"/>
    <x v="2"/>
    <n v="7655"/>
    <n v="8039"/>
    <n v="0"/>
    <s v="Y"/>
    <x v="1"/>
    <n v="17"/>
    <n v="3"/>
    <n v="2"/>
    <n v="80"/>
    <n v="3"/>
    <n v="10"/>
    <n v="3"/>
    <x v="2"/>
    <n v="9"/>
    <n v="7"/>
    <n v="1"/>
    <n v="7"/>
    <x v="1"/>
    <x v="2"/>
  </r>
  <r>
    <n v="46"/>
    <x v="1"/>
    <x v="0"/>
    <n v="406"/>
    <x v="0"/>
    <n v="3"/>
    <n v="1"/>
    <s v="Marketing"/>
    <n v="1"/>
    <n v="1124"/>
    <n v="1"/>
    <s v="Male"/>
    <n v="52"/>
    <n v="3"/>
    <n v="4"/>
    <x v="5"/>
    <n v="3"/>
    <x v="1"/>
    <n v="17465"/>
    <n v="15596"/>
    <n v="3"/>
    <s v="Y"/>
    <x v="1"/>
    <n v="12"/>
    <n v="3"/>
    <n v="4"/>
    <n v="80"/>
    <n v="1"/>
    <n v="23"/>
    <n v="3"/>
    <x v="1"/>
    <n v="12"/>
    <n v="9"/>
    <n v="4"/>
    <n v="9"/>
    <x v="0"/>
    <x v="1"/>
  </r>
  <r>
    <n v="38"/>
    <x v="1"/>
    <x v="0"/>
    <n v="130"/>
    <x v="0"/>
    <n v="2"/>
    <n v="2"/>
    <s v="Marketing"/>
    <n v="1"/>
    <n v="1125"/>
    <n v="4"/>
    <s v="Male"/>
    <n v="32"/>
    <n v="3"/>
    <n v="3"/>
    <x v="0"/>
    <n v="2"/>
    <x v="0"/>
    <n v="7351"/>
    <n v="20619"/>
    <n v="7"/>
    <s v="Y"/>
    <x v="1"/>
    <n v="16"/>
    <n v="3"/>
    <n v="3"/>
    <n v="80"/>
    <n v="0"/>
    <n v="10"/>
    <n v="2"/>
    <x v="1"/>
    <n v="1"/>
    <n v="0"/>
    <n v="0"/>
    <n v="0"/>
    <x v="0"/>
    <x v="1"/>
  </r>
  <r>
    <n v="43"/>
    <x v="1"/>
    <x v="1"/>
    <n v="1082"/>
    <x v="1"/>
    <n v="27"/>
    <n v="3"/>
    <s v="Life Sciences"/>
    <n v="1"/>
    <n v="1126"/>
    <n v="3"/>
    <s v="Female"/>
    <n v="83"/>
    <n v="3"/>
    <n v="3"/>
    <x v="3"/>
    <n v="1"/>
    <x v="1"/>
    <n v="10820"/>
    <n v="11535"/>
    <n v="8"/>
    <s v="Y"/>
    <x v="1"/>
    <n v="11"/>
    <n v="3"/>
    <n v="3"/>
    <n v="80"/>
    <n v="1"/>
    <n v="18"/>
    <n v="1"/>
    <x v="1"/>
    <n v="8"/>
    <n v="7"/>
    <n v="0"/>
    <n v="1"/>
    <x v="0"/>
    <x v="1"/>
  </r>
  <r>
    <n v="39"/>
    <x v="0"/>
    <x v="1"/>
    <n v="203"/>
    <x v="1"/>
    <n v="2"/>
    <n v="3"/>
    <s v="Life Sciences"/>
    <n v="1"/>
    <n v="1127"/>
    <n v="1"/>
    <s v="Male"/>
    <n v="84"/>
    <n v="3"/>
    <n v="4"/>
    <x v="4"/>
    <n v="4"/>
    <x v="2"/>
    <n v="12169"/>
    <n v="13547"/>
    <n v="7"/>
    <s v="Y"/>
    <x v="1"/>
    <n v="11"/>
    <n v="3"/>
    <n v="4"/>
    <n v="80"/>
    <n v="3"/>
    <n v="21"/>
    <n v="4"/>
    <x v="1"/>
    <n v="18"/>
    <n v="7"/>
    <n v="11"/>
    <n v="5"/>
    <x v="0"/>
    <x v="1"/>
  </r>
  <r>
    <n v="40"/>
    <x v="1"/>
    <x v="0"/>
    <n v="1308"/>
    <x v="1"/>
    <n v="14"/>
    <n v="3"/>
    <s v="Medical"/>
    <n v="1"/>
    <n v="1128"/>
    <n v="3"/>
    <s v="Male"/>
    <n v="44"/>
    <n v="2"/>
    <n v="5"/>
    <x v="7"/>
    <n v="3"/>
    <x v="0"/>
    <n v="19626"/>
    <n v="17544"/>
    <n v="1"/>
    <s v="Y"/>
    <x v="1"/>
    <n v="14"/>
    <n v="3"/>
    <n v="1"/>
    <n v="80"/>
    <n v="0"/>
    <n v="21"/>
    <n v="2"/>
    <x v="3"/>
    <n v="20"/>
    <n v="7"/>
    <n v="4"/>
    <n v="9"/>
    <x v="0"/>
    <x v="3"/>
  </r>
  <r>
    <n v="21"/>
    <x v="1"/>
    <x v="0"/>
    <n v="984"/>
    <x v="1"/>
    <n v="1"/>
    <n v="1"/>
    <s v="Technical Degree"/>
    <n v="1"/>
    <n v="1131"/>
    <n v="4"/>
    <s v="Female"/>
    <n v="70"/>
    <n v="2"/>
    <n v="1"/>
    <x v="1"/>
    <n v="2"/>
    <x v="0"/>
    <n v="2070"/>
    <n v="25326"/>
    <n v="1"/>
    <s v="Y"/>
    <x v="0"/>
    <n v="11"/>
    <n v="3"/>
    <n v="3"/>
    <n v="80"/>
    <n v="0"/>
    <n v="2"/>
    <n v="6"/>
    <x v="3"/>
    <n v="2"/>
    <n v="2"/>
    <n v="2"/>
    <n v="2"/>
    <x v="1"/>
    <x v="3"/>
  </r>
  <r>
    <n v="39"/>
    <x v="1"/>
    <x v="2"/>
    <n v="439"/>
    <x v="1"/>
    <n v="9"/>
    <n v="3"/>
    <s v="Life Sciences"/>
    <n v="1"/>
    <n v="1132"/>
    <n v="3"/>
    <s v="Male"/>
    <n v="70"/>
    <n v="3"/>
    <n v="2"/>
    <x v="2"/>
    <n v="2"/>
    <x v="0"/>
    <n v="6782"/>
    <n v="8770"/>
    <n v="9"/>
    <s v="Y"/>
    <x v="1"/>
    <n v="15"/>
    <n v="3"/>
    <n v="3"/>
    <n v="80"/>
    <n v="0"/>
    <n v="9"/>
    <n v="2"/>
    <x v="2"/>
    <n v="5"/>
    <n v="4"/>
    <n v="0"/>
    <n v="3"/>
    <x v="0"/>
    <x v="2"/>
  </r>
  <r>
    <n v="36"/>
    <x v="1"/>
    <x v="2"/>
    <n v="217"/>
    <x v="1"/>
    <n v="18"/>
    <n v="4"/>
    <s v="Life Sciences"/>
    <n v="1"/>
    <n v="1133"/>
    <n v="1"/>
    <s v="Male"/>
    <n v="78"/>
    <n v="3"/>
    <n v="2"/>
    <x v="3"/>
    <n v="4"/>
    <x v="0"/>
    <n v="7779"/>
    <n v="23238"/>
    <n v="2"/>
    <s v="Y"/>
    <x v="1"/>
    <n v="20"/>
    <n v="4"/>
    <n v="1"/>
    <n v="80"/>
    <n v="0"/>
    <n v="18"/>
    <n v="0"/>
    <x v="1"/>
    <n v="11"/>
    <n v="9"/>
    <n v="0"/>
    <n v="9"/>
    <x v="0"/>
    <x v="1"/>
  </r>
  <r>
    <n v="31"/>
    <x v="1"/>
    <x v="1"/>
    <n v="793"/>
    <x v="0"/>
    <n v="20"/>
    <n v="3"/>
    <s v="Life Sciences"/>
    <n v="1"/>
    <n v="1135"/>
    <n v="3"/>
    <s v="Male"/>
    <n v="67"/>
    <n v="4"/>
    <n v="1"/>
    <x v="6"/>
    <n v="4"/>
    <x v="1"/>
    <n v="2791"/>
    <n v="21981"/>
    <n v="0"/>
    <s v="Y"/>
    <x v="1"/>
    <n v="12"/>
    <n v="3"/>
    <n v="1"/>
    <n v="80"/>
    <n v="1"/>
    <n v="3"/>
    <n v="4"/>
    <x v="1"/>
    <n v="2"/>
    <n v="2"/>
    <n v="2"/>
    <n v="2"/>
    <x v="0"/>
    <x v="1"/>
  </r>
  <r>
    <n v="28"/>
    <x v="1"/>
    <x v="0"/>
    <n v="1451"/>
    <x v="1"/>
    <n v="2"/>
    <n v="1"/>
    <s v="Life Sciences"/>
    <n v="1"/>
    <n v="1136"/>
    <n v="1"/>
    <s v="Male"/>
    <n v="67"/>
    <n v="2"/>
    <n v="1"/>
    <x v="1"/>
    <n v="2"/>
    <x v="1"/>
    <n v="3201"/>
    <n v="19911"/>
    <n v="0"/>
    <s v="Y"/>
    <x v="1"/>
    <n v="17"/>
    <n v="3"/>
    <n v="1"/>
    <n v="80"/>
    <n v="0"/>
    <n v="6"/>
    <n v="2"/>
    <x v="0"/>
    <n v="5"/>
    <n v="3"/>
    <n v="0"/>
    <n v="4"/>
    <x v="1"/>
    <x v="0"/>
  </r>
  <r>
    <n v="35"/>
    <x v="1"/>
    <x v="1"/>
    <n v="1182"/>
    <x v="0"/>
    <n v="11"/>
    <n v="2"/>
    <s v="Marketing"/>
    <n v="1"/>
    <n v="1137"/>
    <n v="4"/>
    <s v="Male"/>
    <n v="54"/>
    <n v="3"/>
    <n v="2"/>
    <x v="0"/>
    <n v="4"/>
    <x v="2"/>
    <n v="4968"/>
    <n v="18500"/>
    <n v="1"/>
    <s v="Y"/>
    <x v="1"/>
    <n v="11"/>
    <n v="3"/>
    <n v="4"/>
    <n v="80"/>
    <n v="1"/>
    <n v="5"/>
    <n v="3"/>
    <x v="1"/>
    <n v="5"/>
    <n v="2"/>
    <n v="0"/>
    <n v="2"/>
    <x v="0"/>
    <x v="1"/>
  </r>
  <r>
    <n v="49"/>
    <x v="1"/>
    <x v="0"/>
    <n v="174"/>
    <x v="0"/>
    <n v="8"/>
    <n v="4"/>
    <s v="Technical Degree"/>
    <n v="1"/>
    <n v="1138"/>
    <n v="4"/>
    <s v="Male"/>
    <n v="56"/>
    <n v="2"/>
    <n v="4"/>
    <x v="0"/>
    <n v="2"/>
    <x v="1"/>
    <n v="13120"/>
    <n v="11879"/>
    <n v="6"/>
    <s v="Y"/>
    <x v="1"/>
    <n v="17"/>
    <n v="3"/>
    <n v="2"/>
    <n v="80"/>
    <n v="1"/>
    <n v="22"/>
    <n v="3"/>
    <x v="1"/>
    <n v="9"/>
    <n v="8"/>
    <n v="2"/>
    <n v="3"/>
    <x v="0"/>
    <x v="1"/>
  </r>
  <r>
    <n v="34"/>
    <x v="1"/>
    <x v="1"/>
    <n v="1003"/>
    <x v="1"/>
    <n v="2"/>
    <n v="2"/>
    <s v="Life Sciences"/>
    <n v="1"/>
    <n v="1140"/>
    <n v="4"/>
    <s v="Male"/>
    <n v="95"/>
    <n v="3"/>
    <n v="2"/>
    <x v="3"/>
    <n v="3"/>
    <x v="0"/>
    <n v="4033"/>
    <n v="15834"/>
    <n v="2"/>
    <s v="Y"/>
    <x v="1"/>
    <n v="11"/>
    <n v="3"/>
    <n v="4"/>
    <n v="80"/>
    <n v="0"/>
    <n v="5"/>
    <n v="3"/>
    <x v="2"/>
    <n v="3"/>
    <n v="2"/>
    <n v="0"/>
    <n v="2"/>
    <x v="0"/>
    <x v="2"/>
  </r>
  <r>
    <n v="29"/>
    <x v="1"/>
    <x v="1"/>
    <n v="490"/>
    <x v="1"/>
    <n v="10"/>
    <n v="3"/>
    <s v="Life Sciences"/>
    <n v="1"/>
    <n v="1143"/>
    <n v="4"/>
    <s v="Female"/>
    <n v="61"/>
    <n v="3"/>
    <n v="1"/>
    <x v="1"/>
    <n v="2"/>
    <x v="2"/>
    <n v="3291"/>
    <n v="17940"/>
    <n v="0"/>
    <s v="Y"/>
    <x v="1"/>
    <n v="14"/>
    <n v="3"/>
    <n v="4"/>
    <n v="80"/>
    <n v="2"/>
    <n v="8"/>
    <n v="2"/>
    <x v="2"/>
    <n v="7"/>
    <n v="5"/>
    <n v="1"/>
    <n v="1"/>
    <x v="1"/>
    <x v="2"/>
  </r>
  <r>
    <n v="42"/>
    <x v="1"/>
    <x v="0"/>
    <n v="188"/>
    <x v="1"/>
    <n v="29"/>
    <n v="3"/>
    <s v="Medical"/>
    <n v="1"/>
    <n v="1148"/>
    <n v="2"/>
    <s v="Male"/>
    <n v="56"/>
    <n v="1"/>
    <n v="2"/>
    <x v="2"/>
    <n v="4"/>
    <x v="0"/>
    <n v="4272"/>
    <n v="9558"/>
    <n v="4"/>
    <s v="Y"/>
    <x v="1"/>
    <n v="19"/>
    <n v="3"/>
    <n v="1"/>
    <n v="80"/>
    <n v="0"/>
    <n v="16"/>
    <n v="3"/>
    <x v="1"/>
    <n v="1"/>
    <n v="0"/>
    <n v="0"/>
    <n v="0"/>
    <x v="0"/>
    <x v="1"/>
  </r>
  <r>
    <n v="29"/>
    <x v="1"/>
    <x v="0"/>
    <n v="718"/>
    <x v="1"/>
    <n v="8"/>
    <n v="1"/>
    <s v="Medical"/>
    <n v="1"/>
    <n v="1150"/>
    <n v="2"/>
    <s v="Male"/>
    <n v="79"/>
    <n v="2"/>
    <n v="2"/>
    <x v="3"/>
    <n v="4"/>
    <x v="1"/>
    <n v="5056"/>
    <n v="17689"/>
    <n v="1"/>
    <s v="Y"/>
    <x v="0"/>
    <n v="15"/>
    <n v="3"/>
    <n v="3"/>
    <n v="80"/>
    <n v="1"/>
    <n v="10"/>
    <n v="2"/>
    <x v="2"/>
    <n v="10"/>
    <n v="7"/>
    <n v="1"/>
    <n v="2"/>
    <x v="1"/>
    <x v="2"/>
  </r>
  <r>
    <n v="38"/>
    <x v="1"/>
    <x v="0"/>
    <n v="433"/>
    <x v="2"/>
    <n v="1"/>
    <n v="3"/>
    <s v="Human Resources"/>
    <n v="1"/>
    <n v="1152"/>
    <n v="3"/>
    <s v="Male"/>
    <n v="37"/>
    <n v="4"/>
    <n v="1"/>
    <x v="8"/>
    <n v="3"/>
    <x v="1"/>
    <n v="2844"/>
    <n v="6004"/>
    <n v="1"/>
    <s v="Y"/>
    <x v="1"/>
    <n v="13"/>
    <n v="3"/>
    <n v="4"/>
    <n v="80"/>
    <n v="1"/>
    <n v="7"/>
    <n v="2"/>
    <x v="3"/>
    <n v="7"/>
    <n v="6"/>
    <n v="5"/>
    <n v="0"/>
    <x v="0"/>
    <x v="3"/>
  </r>
  <r>
    <n v="28"/>
    <x v="1"/>
    <x v="1"/>
    <n v="773"/>
    <x v="1"/>
    <n v="6"/>
    <n v="3"/>
    <s v="Life Sciences"/>
    <n v="1"/>
    <n v="1154"/>
    <n v="3"/>
    <s v="Male"/>
    <n v="39"/>
    <n v="2"/>
    <n v="1"/>
    <x v="1"/>
    <n v="3"/>
    <x v="2"/>
    <n v="2703"/>
    <n v="22088"/>
    <n v="1"/>
    <s v="Y"/>
    <x v="0"/>
    <n v="14"/>
    <n v="3"/>
    <n v="4"/>
    <n v="80"/>
    <n v="1"/>
    <n v="3"/>
    <n v="2"/>
    <x v="1"/>
    <n v="3"/>
    <n v="1"/>
    <n v="0"/>
    <n v="2"/>
    <x v="1"/>
    <x v="1"/>
  </r>
  <r>
    <n v="18"/>
    <x v="0"/>
    <x v="2"/>
    <n v="247"/>
    <x v="1"/>
    <n v="8"/>
    <n v="1"/>
    <s v="Medical"/>
    <n v="1"/>
    <n v="1156"/>
    <n v="3"/>
    <s v="Male"/>
    <n v="80"/>
    <n v="3"/>
    <n v="1"/>
    <x v="2"/>
    <n v="3"/>
    <x v="0"/>
    <n v="1904"/>
    <n v="13556"/>
    <n v="1"/>
    <s v="Y"/>
    <x v="1"/>
    <n v="12"/>
    <n v="3"/>
    <n v="4"/>
    <n v="80"/>
    <n v="0"/>
    <n v="0"/>
    <n v="0"/>
    <x v="1"/>
    <n v="0"/>
    <n v="0"/>
    <n v="0"/>
    <n v="0"/>
    <x v="1"/>
    <x v="1"/>
  </r>
  <r>
    <n v="33"/>
    <x v="0"/>
    <x v="0"/>
    <n v="603"/>
    <x v="0"/>
    <n v="9"/>
    <n v="4"/>
    <s v="Marketing"/>
    <n v="1"/>
    <n v="1157"/>
    <n v="1"/>
    <s v="Female"/>
    <n v="77"/>
    <n v="3"/>
    <n v="2"/>
    <x v="0"/>
    <n v="1"/>
    <x v="0"/>
    <n v="8224"/>
    <n v="18385"/>
    <n v="0"/>
    <s v="Y"/>
    <x v="0"/>
    <n v="17"/>
    <n v="3"/>
    <n v="1"/>
    <n v="80"/>
    <n v="0"/>
    <n v="6"/>
    <n v="3"/>
    <x v="1"/>
    <n v="5"/>
    <n v="2"/>
    <n v="0"/>
    <n v="3"/>
    <x v="0"/>
    <x v="1"/>
  </r>
  <r>
    <n v="41"/>
    <x v="1"/>
    <x v="0"/>
    <n v="167"/>
    <x v="1"/>
    <n v="12"/>
    <n v="4"/>
    <s v="Life Sciences"/>
    <n v="1"/>
    <n v="1158"/>
    <n v="2"/>
    <s v="Male"/>
    <n v="46"/>
    <n v="3"/>
    <n v="1"/>
    <x v="2"/>
    <n v="4"/>
    <x v="1"/>
    <n v="4766"/>
    <n v="9051"/>
    <n v="3"/>
    <s v="Y"/>
    <x v="0"/>
    <n v="11"/>
    <n v="3"/>
    <n v="1"/>
    <n v="80"/>
    <n v="1"/>
    <n v="6"/>
    <n v="4"/>
    <x v="1"/>
    <n v="1"/>
    <n v="0"/>
    <n v="0"/>
    <n v="0"/>
    <x v="0"/>
    <x v="1"/>
  </r>
  <r>
    <n v="31"/>
    <x v="0"/>
    <x v="1"/>
    <n v="874"/>
    <x v="1"/>
    <n v="15"/>
    <n v="3"/>
    <s v="Medical"/>
    <n v="1"/>
    <n v="1160"/>
    <n v="3"/>
    <s v="Male"/>
    <n v="72"/>
    <n v="3"/>
    <n v="1"/>
    <x v="2"/>
    <n v="3"/>
    <x v="1"/>
    <n v="2610"/>
    <n v="6233"/>
    <n v="1"/>
    <s v="Y"/>
    <x v="1"/>
    <n v="12"/>
    <n v="3"/>
    <n v="3"/>
    <n v="80"/>
    <n v="1"/>
    <n v="2"/>
    <n v="5"/>
    <x v="2"/>
    <n v="2"/>
    <n v="2"/>
    <n v="2"/>
    <n v="2"/>
    <x v="0"/>
    <x v="2"/>
  </r>
  <r>
    <n v="37"/>
    <x v="1"/>
    <x v="0"/>
    <n v="367"/>
    <x v="1"/>
    <n v="25"/>
    <n v="2"/>
    <s v="Medical"/>
    <n v="1"/>
    <n v="1161"/>
    <n v="3"/>
    <s v="Female"/>
    <n v="52"/>
    <n v="2"/>
    <n v="2"/>
    <x v="4"/>
    <n v="4"/>
    <x v="2"/>
    <n v="5731"/>
    <n v="17171"/>
    <n v="7"/>
    <s v="Y"/>
    <x v="1"/>
    <n v="13"/>
    <n v="3"/>
    <n v="3"/>
    <n v="80"/>
    <n v="2"/>
    <n v="9"/>
    <n v="2"/>
    <x v="1"/>
    <n v="6"/>
    <n v="2"/>
    <n v="1"/>
    <n v="3"/>
    <x v="0"/>
    <x v="1"/>
  </r>
  <r>
    <n v="27"/>
    <x v="1"/>
    <x v="0"/>
    <n v="199"/>
    <x v="1"/>
    <n v="6"/>
    <n v="3"/>
    <s v="Life Sciences"/>
    <n v="1"/>
    <n v="1162"/>
    <n v="4"/>
    <s v="Male"/>
    <n v="55"/>
    <n v="2"/>
    <n v="1"/>
    <x v="1"/>
    <n v="3"/>
    <x v="1"/>
    <n v="2539"/>
    <n v="7950"/>
    <n v="1"/>
    <s v="Y"/>
    <x v="1"/>
    <n v="13"/>
    <n v="3"/>
    <n v="3"/>
    <n v="80"/>
    <n v="1"/>
    <n v="4"/>
    <n v="0"/>
    <x v="1"/>
    <n v="4"/>
    <n v="2"/>
    <n v="2"/>
    <n v="2"/>
    <x v="1"/>
    <x v="1"/>
  </r>
  <r>
    <n v="34"/>
    <x v="1"/>
    <x v="0"/>
    <n v="1400"/>
    <x v="0"/>
    <n v="9"/>
    <n v="1"/>
    <s v="Life Sciences"/>
    <n v="1"/>
    <n v="1163"/>
    <n v="2"/>
    <s v="Female"/>
    <n v="70"/>
    <n v="3"/>
    <n v="2"/>
    <x v="0"/>
    <n v="3"/>
    <x v="1"/>
    <n v="5714"/>
    <n v="5829"/>
    <n v="1"/>
    <s v="Y"/>
    <x v="1"/>
    <n v="20"/>
    <n v="4"/>
    <n v="1"/>
    <n v="80"/>
    <n v="0"/>
    <n v="6"/>
    <n v="3"/>
    <x v="2"/>
    <n v="6"/>
    <n v="5"/>
    <n v="1"/>
    <n v="3"/>
    <x v="0"/>
    <x v="2"/>
  </r>
  <r>
    <n v="35"/>
    <x v="1"/>
    <x v="0"/>
    <n v="528"/>
    <x v="2"/>
    <n v="8"/>
    <n v="4"/>
    <s v="Technical Degree"/>
    <n v="1"/>
    <n v="1164"/>
    <n v="3"/>
    <s v="Male"/>
    <n v="100"/>
    <n v="3"/>
    <n v="1"/>
    <x v="8"/>
    <n v="3"/>
    <x v="0"/>
    <n v="4323"/>
    <n v="7108"/>
    <n v="1"/>
    <s v="Y"/>
    <x v="1"/>
    <n v="17"/>
    <n v="3"/>
    <n v="2"/>
    <n v="80"/>
    <n v="0"/>
    <n v="6"/>
    <n v="2"/>
    <x v="0"/>
    <n v="5"/>
    <n v="4"/>
    <n v="1"/>
    <n v="4"/>
    <x v="0"/>
    <x v="0"/>
  </r>
  <r>
    <n v="29"/>
    <x v="0"/>
    <x v="0"/>
    <n v="408"/>
    <x v="0"/>
    <n v="23"/>
    <n v="1"/>
    <s v="Life Sciences"/>
    <n v="1"/>
    <n v="1165"/>
    <n v="4"/>
    <s v="Female"/>
    <n v="45"/>
    <n v="2"/>
    <n v="3"/>
    <x v="0"/>
    <n v="1"/>
    <x v="1"/>
    <n v="7336"/>
    <n v="11162"/>
    <n v="1"/>
    <s v="Y"/>
    <x v="1"/>
    <n v="13"/>
    <n v="3"/>
    <n v="1"/>
    <n v="80"/>
    <n v="1"/>
    <n v="11"/>
    <n v="3"/>
    <x v="0"/>
    <n v="11"/>
    <n v="8"/>
    <n v="3"/>
    <n v="10"/>
    <x v="1"/>
    <x v="0"/>
  </r>
  <r>
    <n v="40"/>
    <x v="1"/>
    <x v="1"/>
    <n v="593"/>
    <x v="1"/>
    <n v="9"/>
    <n v="4"/>
    <s v="Medical"/>
    <n v="1"/>
    <n v="1166"/>
    <n v="2"/>
    <s v="Female"/>
    <n v="88"/>
    <n v="3"/>
    <n v="3"/>
    <x v="7"/>
    <n v="3"/>
    <x v="0"/>
    <n v="13499"/>
    <n v="13782"/>
    <n v="9"/>
    <s v="Y"/>
    <x v="1"/>
    <n v="17"/>
    <n v="3"/>
    <n v="3"/>
    <n v="80"/>
    <n v="0"/>
    <n v="20"/>
    <n v="3"/>
    <x v="2"/>
    <n v="18"/>
    <n v="7"/>
    <n v="2"/>
    <n v="13"/>
    <x v="0"/>
    <x v="2"/>
  </r>
  <r>
    <n v="42"/>
    <x v="0"/>
    <x v="1"/>
    <n v="481"/>
    <x v="0"/>
    <n v="12"/>
    <n v="3"/>
    <s v="Life Sciences"/>
    <n v="1"/>
    <n v="1167"/>
    <n v="3"/>
    <s v="Male"/>
    <n v="44"/>
    <n v="3"/>
    <n v="4"/>
    <x v="0"/>
    <n v="1"/>
    <x v="0"/>
    <n v="13758"/>
    <n v="2447"/>
    <n v="0"/>
    <s v="Y"/>
    <x v="0"/>
    <n v="12"/>
    <n v="3"/>
    <n v="2"/>
    <n v="80"/>
    <n v="0"/>
    <n v="22"/>
    <n v="2"/>
    <x v="2"/>
    <n v="21"/>
    <n v="9"/>
    <n v="13"/>
    <n v="14"/>
    <x v="0"/>
    <x v="2"/>
  </r>
  <r>
    <n v="42"/>
    <x v="1"/>
    <x v="0"/>
    <n v="647"/>
    <x v="0"/>
    <n v="4"/>
    <n v="4"/>
    <s v="Marketing"/>
    <n v="1"/>
    <n v="1171"/>
    <n v="2"/>
    <s v="Male"/>
    <n v="45"/>
    <n v="3"/>
    <n v="2"/>
    <x v="0"/>
    <n v="1"/>
    <x v="0"/>
    <n v="5155"/>
    <n v="2253"/>
    <n v="7"/>
    <s v="Y"/>
    <x v="1"/>
    <n v="13"/>
    <n v="3"/>
    <n v="4"/>
    <n v="80"/>
    <n v="0"/>
    <n v="9"/>
    <n v="3"/>
    <x v="3"/>
    <n v="6"/>
    <n v="4"/>
    <n v="1"/>
    <n v="5"/>
    <x v="0"/>
    <x v="3"/>
  </r>
  <r>
    <n v="35"/>
    <x v="1"/>
    <x v="0"/>
    <n v="982"/>
    <x v="1"/>
    <n v="1"/>
    <n v="4"/>
    <s v="Medical"/>
    <n v="1"/>
    <n v="1172"/>
    <n v="4"/>
    <s v="Male"/>
    <n v="58"/>
    <n v="2"/>
    <n v="1"/>
    <x v="2"/>
    <n v="3"/>
    <x v="1"/>
    <n v="2258"/>
    <n v="16340"/>
    <n v="6"/>
    <s v="Y"/>
    <x v="1"/>
    <n v="12"/>
    <n v="3"/>
    <n v="2"/>
    <n v="80"/>
    <n v="1"/>
    <n v="10"/>
    <n v="2"/>
    <x v="1"/>
    <n v="8"/>
    <n v="0"/>
    <n v="1"/>
    <n v="7"/>
    <x v="0"/>
    <x v="1"/>
  </r>
  <r>
    <n v="24"/>
    <x v="1"/>
    <x v="0"/>
    <n v="477"/>
    <x v="1"/>
    <n v="24"/>
    <n v="3"/>
    <s v="Medical"/>
    <n v="1"/>
    <n v="1173"/>
    <n v="4"/>
    <s v="Male"/>
    <n v="49"/>
    <n v="3"/>
    <n v="1"/>
    <x v="2"/>
    <n v="2"/>
    <x v="0"/>
    <n v="3597"/>
    <n v="6409"/>
    <n v="8"/>
    <s v="Y"/>
    <x v="1"/>
    <n v="22"/>
    <n v="4"/>
    <n v="4"/>
    <n v="80"/>
    <n v="0"/>
    <n v="6"/>
    <n v="2"/>
    <x v="1"/>
    <n v="4"/>
    <n v="3"/>
    <n v="1"/>
    <n v="2"/>
    <x v="1"/>
    <x v="1"/>
  </r>
  <r>
    <n v="28"/>
    <x v="0"/>
    <x v="0"/>
    <n v="1485"/>
    <x v="1"/>
    <n v="12"/>
    <n v="1"/>
    <s v="Life Sciences"/>
    <n v="1"/>
    <n v="1175"/>
    <n v="3"/>
    <s v="Female"/>
    <n v="79"/>
    <n v="3"/>
    <n v="1"/>
    <x v="2"/>
    <n v="4"/>
    <x v="1"/>
    <n v="2515"/>
    <n v="22955"/>
    <n v="1"/>
    <s v="Y"/>
    <x v="0"/>
    <n v="11"/>
    <n v="3"/>
    <n v="4"/>
    <n v="80"/>
    <n v="0"/>
    <n v="1"/>
    <n v="4"/>
    <x v="2"/>
    <n v="1"/>
    <n v="1"/>
    <n v="0"/>
    <n v="0"/>
    <x v="1"/>
    <x v="2"/>
  </r>
  <r>
    <n v="26"/>
    <x v="1"/>
    <x v="0"/>
    <n v="1384"/>
    <x v="1"/>
    <n v="3"/>
    <n v="4"/>
    <s v="Medical"/>
    <n v="1"/>
    <n v="1177"/>
    <n v="1"/>
    <s v="Male"/>
    <n v="82"/>
    <n v="4"/>
    <n v="1"/>
    <x v="2"/>
    <n v="4"/>
    <x v="1"/>
    <n v="4420"/>
    <n v="13421"/>
    <n v="1"/>
    <s v="Y"/>
    <x v="1"/>
    <n v="22"/>
    <n v="4"/>
    <n v="2"/>
    <n v="80"/>
    <n v="1"/>
    <n v="8"/>
    <n v="2"/>
    <x v="1"/>
    <n v="8"/>
    <n v="7"/>
    <n v="0"/>
    <n v="7"/>
    <x v="1"/>
    <x v="1"/>
  </r>
  <r>
    <n v="30"/>
    <x v="1"/>
    <x v="0"/>
    <n v="852"/>
    <x v="0"/>
    <n v="10"/>
    <n v="3"/>
    <s v="Marketing"/>
    <n v="1"/>
    <n v="1179"/>
    <n v="3"/>
    <s v="Male"/>
    <n v="72"/>
    <n v="2"/>
    <n v="2"/>
    <x v="0"/>
    <n v="3"/>
    <x v="1"/>
    <n v="6578"/>
    <n v="2706"/>
    <n v="1"/>
    <s v="Y"/>
    <x v="1"/>
    <n v="18"/>
    <n v="3"/>
    <n v="1"/>
    <n v="80"/>
    <n v="1"/>
    <n v="10"/>
    <n v="3"/>
    <x v="1"/>
    <n v="10"/>
    <n v="3"/>
    <n v="1"/>
    <n v="4"/>
    <x v="1"/>
    <x v="1"/>
  </r>
  <r>
    <n v="40"/>
    <x v="1"/>
    <x v="1"/>
    <n v="902"/>
    <x v="1"/>
    <n v="26"/>
    <n v="2"/>
    <s v="Medical"/>
    <n v="1"/>
    <n v="1180"/>
    <n v="3"/>
    <s v="Female"/>
    <n v="92"/>
    <n v="2"/>
    <n v="2"/>
    <x v="1"/>
    <n v="4"/>
    <x v="1"/>
    <n v="4422"/>
    <n v="21203"/>
    <n v="3"/>
    <s v="Y"/>
    <x v="0"/>
    <n v="13"/>
    <n v="3"/>
    <n v="4"/>
    <n v="80"/>
    <n v="1"/>
    <n v="16"/>
    <n v="3"/>
    <x v="0"/>
    <n v="1"/>
    <n v="1"/>
    <n v="0"/>
    <n v="0"/>
    <x v="0"/>
    <x v="0"/>
  </r>
  <r>
    <n v="35"/>
    <x v="1"/>
    <x v="0"/>
    <n v="819"/>
    <x v="1"/>
    <n v="2"/>
    <n v="3"/>
    <s v="Life Sciences"/>
    <n v="1"/>
    <n v="1182"/>
    <n v="3"/>
    <s v="Male"/>
    <n v="44"/>
    <n v="2"/>
    <n v="3"/>
    <x v="3"/>
    <n v="2"/>
    <x v="2"/>
    <n v="10274"/>
    <n v="19588"/>
    <n v="2"/>
    <s v="Y"/>
    <x v="1"/>
    <n v="18"/>
    <n v="3"/>
    <n v="2"/>
    <n v="80"/>
    <n v="1"/>
    <n v="15"/>
    <n v="2"/>
    <x v="3"/>
    <n v="7"/>
    <n v="7"/>
    <n v="6"/>
    <n v="4"/>
    <x v="0"/>
    <x v="3"/>
  </r>
  <r>
    <n v="34"/>
    <x v="1"/>
    <x v="1"/>
    <n v="669"/>
    <x v="1"/>
    <n v="1"/>
    <n v="3"/>
    <s v="Medical"/>
    <n v="1"/>
    <n v="1184"/>
    <n v="4"/>
    <s v="Male"/>
    <n v="97"/>
    <n v="2"/>
    <n v="2"/>
    <x v="4"/>
    <n v="1"/>
    <x v="0"/>
    <n v="5343"/>
    <n v="25755"/>
    <n v="0"/>
    <s v="Y"/>
    <x v="1"/>
    <n v="20"/>
    <n v="4"/>
    <n v="3"/>
    <n v="80"/>
    <n v="0"/>
    <n v="14"/>
    <n v="3"/>
    <x v="1"/>
    <n v="13"/>
    <n v="9"/>
    <n v="4"/>
    <n v="9"/>
    <x v="0"/>
    <x v="1"/>
  </r>
  <r>
    <n v="35"/>
    <x v="1"/>
    <x v="1"/>
    <n v="636"/>
    <x v="1"/>
    <n v="4"/>
    <n v="4"/>
    <s v="Other"/>
    <n v="1"/>
    <n v="1185"/>
    <n v="4"/>
    <s v="Male"/>
    <n v="47"/>
    <n v="2"/>
    <n v="1"/>
    <x v="2"/>
    <n v="4"/>
    <x v="1"/>
    <n v="2376"/>
    <n v="26537"/>
    <n v="1"/>
    <s v="Y"/>
    <x v="1"/>
    <n v="13"/>
    <n v="3"/>
    <n v="2"/>
    <n v="80"/>
    <n v="1"/>
    <n v="2"/>
    <n v="2"/>
    <x v="3"/>
    <n v="2"/>
    <n v="2"/>
    <n v="2"/>
    <n v="2"/>
    <x v="0"/>
    <x v="3"/>
  </r>
  <r>
    <n v="43"/>
    <x v="0"/>
    <x v="0"/>
    <n v="1372"/>
    <x v="0"/>
    <n v="9"/>
    <n v="3"/>
    <s v="Marketing"/>
    <n v="1"/>
    <n v="1188"/>
    <n v="1"/>
    <s v="Female"/>
    <n v="85"/>
    <n v="1"/>
    <n v="2"/>
    <x v="0"/>
    <n v="3"/>
    <x v="0"/>
    <n v="5346"/>
    <n v="9489"/>
    <n v="8"/>
    <s v="Y"/>
    <x v="1"/>
    <n v="13"/>
    <n v="3"/>
    <n v="2"/>
    <n v="80"/>
    <n v="0"/>
    <n v="7"/>
    <n v="2"/>
    <x v="2"/>
    <n v="4"/>
    <n v="3"/>
    <n v="1"/>
    <n v="3"/>
    <x v="0"/>
    <x v="2"/>
  </r>
  <r>
    <n v="32"/>
    <x v="1"/>
    <x v="2"/>
    <n v="862"/>
    <x v="0"/>
    <n v="2"/>
    <n v="1"/>
    <s v="Life Sciences"/>
    <n v="1"/>
    <n v="1190"/>
    <n v="3"/>
    <s v="Female"/>
    <n v="76"/>
    <n v="3"/>
    <n v="1"/>
    <x v="6"/>
    <n v="1"/>
    <x v="2"/>
    <n v="2827"/>
    <n v="14947"/>
    <n v="1"/>
    <s v="Y"/>
    <x v="1"/>
    <n v="12"/>
    <n v="3"/>
    <n v="3"/>
    <n v="80"/>
    <n v="3"/>
    <n v="1"/>
    <n v="3"/>
    <x v="1"/>
    <n v="1"/>
    <n v="0"/>
    <n v="0"/>
    <n v="0"/>
    <x v="0"/>
    <x v="1"/>
  </r>
  <r>
    <n v="56"/>
    <x v="1"/>
    <x v="0"/>
    <n v="718"/>
    <x v="1"/>
    <n v="4"/>
    <n v="4"/>
    <s v="Technical Degree"/>
    <n v="1"/>
    <n v="1191"/>
    <n v="4"/>
    <s v="Female"/>
    <n v="92"/>
    <n v="3"/>
    <n v="5"/>
    <x v="5"/>
    <n v="1"/>
    <x v="2"/>
    <n v="19943"/>
    <n v="18575"/>
    <n v="4"/>
    <s v="Y"/>
    <x v="1"/>
    <n v="13"/>
    <n v="3"/>
    <n v="4"/>
    <n v="80"/>
    <n v="1"/>
    <n v="28"/>
    <n v="2"/>
    <x v="1"/>
    <n v="5"/>
    <n v="2"/>
    <n v="4"/>
    <n v="2"/>
    <x v="2"/>
    <x v="1"/>
  </r>
  <r>
    <n v="29"/>
    <x v="1"/>
    <x v="0"/>
    <n v="1401"/>
    <x v="1"/>
    <n v="6"/>
    <n v="1"/>
    <s v="Medical"/>
    <n v="1"/>
    <n v="1192"/>
    <n v="2"/>
    <s v="Female"/>
    <n v="54"/>
    <n v="3"/>
    <n v="1"/>
    <x v="2"/>
    <n v="4"/>
    <x v="1"/>
    <n v="3131"/>
    <n v="26342"/>
    <n v="1"/>
    <s v="Y"/>
    <x v="1"/>
    <n v="13"/>
    <n v="3"/>
    <n v="1"/>
    <n v="80"/>
    <n v="1"/>
    <n v="10"/>
    <n v="5"/>
    <x v="1"/>
    <n v="10"/>
    <n v="8"/>
    <n v="0"/>
    <n v="8"/>
    <x v="1"/>
    <x v="1"/>
  </r>
  <r>
    <n v="19"/>
    <x v="1"/>
    <x v="0"/>
    <n v="645"/>
    <x v="1"/>
    <n v="9"/>
    <n v="2"/>
    <s v="Life Sciences"/>
    <n v="1"/>
    <n v="1193"/>
    <n v="3"/>
    <s v="Male"/>
    <n v="54"/>
    <n v="3"/>
    <n v="1"/>
    <x v="1"/>
    <n v="1"/>
    <x v="0"/>
    <n v="2552"/>
    <n v="7172"/>
    <n v="1"/>
    <s v="Y"/>
    <x v="1"/>
    <n v="25"/>
    <n v="4"/>
    <n v="3"/>
    <n v="80"/>
    <n v="0"/>
    <n v="1"/>
    <n v="4"/>
    <x v="1"/>
    <n v="1"/>
    <n v="1"/>
    <n v="0"/>
    <n v="0"/>
    <x v="1"/>
    <x v="1"/>
  </r>
  <r>
    <n v="45"/>
    <x v="1"/>
    <x v="0"/>
    <n v="1457"/>
    <x v="1"/>
    <n v="7"/>
    <n v="3"/>
    <s v="Medical"/>
    <n v="1"/>
    <n v="1195"/>
    <n v="1"/>
    <s v="Female"/>
    <n v="83"/>
    <n v="3"/>
    <n v="1"/>
    <x v="1"/>
    <n v="3"/>
    <x v="1"/>
    <n v="4477"/>
    <n v="20100"/>
    <n v="4"/>
    <s v="Y"/>
    <x v="0"/>
    <n v="19"/>
    <n v="3"/>
    <n v="3"/>
    <n v="80"/>
    <n v="1"/>
    <n v="7"/>
    <n v="2"/>
    <x v="2"/>
    <n v="3"/>
    <n v="2"/>
    <n v="0"/>
    <n v="2"/>
    <x v="0"/>
    <x v="2"/>
  </r>
  <r>
    <n v="37"/>
    <x v="1"/>
    <x v="0"/>
    <n v="977"/>
    <x v="1"/>
    <n v="1"/>
    <n v="3"/>
    <s v="Life Sciences"/>
    <n v="1"/>
    <n v="1196"/>
    <n v="4"/>
    <s v="Female"/>
    <n v="56"/>
    <n v="2"/>
    <n v="2"/>
    <x v="3"/>
    <n v="4"/>
    <x v="1"/>
    <n v="6474"/>
    <n v="9961"/>
    <n v="1"/>
    <s v="Y"/>
    <x v="1"/>
    <n v="13"/>
    <n v="3"/>
    <n v="2"/>
    <n v="80"/>
    <n v="1"/>
    <n v="14"/>
    <n v="2"/>
    <x v="2"/>
    <n v="14"/>
    <n v="8"/>
    <n v="3"/>
    <n v="11"/>
    <x v="0"/>
    <x v="2"/>
  </r>
  <r>
    <n v="20"/>
    <x v="1"/>
    <x v="0"/>
    <n v="805"/>
    <x v="1"/>
    <n v="3"/>
    <n v="3"/>
    <s v="Life Sciences"/>
    <n v="1"/>
    <n v="1198"/>
    <n v="1"/>
    <s v="Male"/>
    <n v="87"/>
    <n v="2"/>
    <n v="1"/>
    <x v="2"/>
    <n v="3"/>
    <x v="0"/>
    <n v="3033"/>
    <n v="12828"/>
    <n v="1"/>
    <s v="Y"/>
    <x v="1"/>
    <n v="12"/>
    <n v="3"/>
    <n v="1"/>
    <n v="80"/>
    <n v="0"/>
    <n v="2"/>
    <n v="2"/>
    <x v="2"/>
    <n v="2"/>
    <n v="2"/>
    <n v="1"/>
    <n v="2"/>
    <x v="1"/>
    <x v="2"/>
  </r>
  <r>
    <n v="44"/>
    <x v="0"/>
    <x v="0"/>
    <n v="1097"/>
    <x v="1"/>
    <n v="10"/>
    <n v="4"/>
    <s v="Life Sciences"/>
    <n v="1"/>
    <n v="1200"/>
    <n v="3"/>
    <s v="Male"/>
    <n v="96"/>
    <n v="3"/>
    <n v="1"/>
    <x v="1"/>
    <n v="3"/>
    <x v="0"/>
    <n v="2936"/>
    <n v="10826"/>
    <n v="1"/>
    <s v="Y"/>
    <x v="0"/>
    <n v="11"/>
    <n v="3"/>
    <n v="3"/>
    <n v="80"/>
    <n v="0"/>
    <n v="6"/>
    <n v="4"/>
    <x v="1"/>
    <n v="6"/>
    <n v="4"/>
    <n v="0"/>
    <n v="2"/>
    <x v="0"/>
    <x v="1"/>
  </r>
  <r>
    <n v="53"/>
    <x v="1"/>
    <x v="0"/>
    <n v="1223"/>
    <x v="1"/>
    <n v="7"/>
    <n v="2"/>
    <s v="Medical"/>
    <n v="1"/>
    <n v="1201"/>
    <n v="4"/>
    <s v="Female"/>
    <n v="50"/>
    <n v="3"/>
    <n v="5"/>
    <x v="5"/>
    <n v="3"/>
    <x v="2"/>
    <n v="18606"/>
    <n v="18640"/>
    <n v="3"/>
    <s v="Y"/>
    <x v="1"/>
    <n v="18"/>
    <n v="3"/>
    <n v="2"/>
    <n v="80"/>
    <n v="1"/>
    <n v="26"/>
    <n v="6"/>
    <x v="1"/>
    <n v="7"/>
    <n v="7"/>
    <n v="4"/>
    <n v="7"/>
    <x v="2"/>
    <x v="1"/>
  </r>
  <r>
    <n v="29"/>
    <x v="1"/>
    <x v="0"/>
    <n v="942"/>
    <x v="1"/>
    <n v="15"/>
    <n v="1"/>
    <s v="Life Sciences"/>
    <n v="1"/>
    <n v="1202"/>
    <n v="2"/>
    <s v="Female"/>
    <n v="69"/>
    <n v="1"/>
    <n v="1"/>
    <x v="1"/>
    <n v="4"/>
    <x v="1"/>
    <n v="2168"/>
    <n v="26933"/>
    <n v="0"/>
    <s v="Y"/>
    <x v="0"/>
    <n v="18"/>
    <n v="3"/>
    <n v="1"/>
    <n v="80"/>
    <n v="1"/>
    <n v="6"/>
    <n v="2"/>
    <x v="2"/>
    <n v="5"/>
    <n v="4"/>
    <n v="1"/>
    <n v="3"/>
    <x v="1"/>
    <x v="2"/>
  </r>
  <r>
    <n v="22"/>
    <x v="0"/>
    <x v="1"/>
    <n v="1256"/>
    <x v="1"/>
    <n v="3"/>
    <n v="4"/>
    <s v="Life Sciences"/>
    <n v="1"/>
    <n v="1203"/>
    <n v="3"/>
    <s v="Male"/>
    <n v="48"/>
    <n v="2"/>
    <n v="1"/>
    <x v="1"/>
    <n v="4"/>
    <x v="1"/>
    <n v="2853"/>
    <n v="4223"/>
    <n v="0"/>
    <s v="Y"/>
    <x v="0"/>
    <n v="11"/>
    <n v="3"/>
    <n v="2"/>
    <n v="80"/>
    <n v="1"/>
    <n v="1"/>
    <n v="5"/>
    <x v="1"/>
    <n v="0"/>
    <n v="0"/>
    <n v="0"/>
    <n v="0"/>
    <x v="1"/>
    <x v="1"/>
  </r>
  <r>
    <n v="46"/>
    <x v="1"/>
    <x v="0"/>
    <n v="1402"/>
    <x v="0"/>
    <n v="2"/>
    <n v="3"/>
    <s v="Marketing"/>
    <n v="1"/>
    <n v="1204"/>
    <n v="3"/>
    <s v="Female"/>
    <n v="69"/>
    <n v="3"/>
    <n v="4"/>
    <x v="5"/>
    <n v="1"/>
    <x v="1"/>
    <n v="17048"/>
    <n v="24097"/>
    <n v="8"/>
    <s v="Y"/>
    <x v="1"/>
    <n v="23"/>
    <n v="4"/>
    <n v="1"/>
    <n v="80"/>
    <n v="0"/>
    <n v="28"/>
    <n v="2"/>
    <x v="1"/>
    <n v="26"/>
    <n v="15"/>
    <n v="15"/>
    <n v="9"/>
    <x v="0"/>
    <x v="1"/>
  </r>
  <r>
    <n v="44"/>
    <x v="1"/>
    <x v="2"/>
    <n v="111"/>
    <x v="1"/>
    <n v="17"/>
    <n v="3"/>
    <s v="Life Sciences"/>
    <n v="1"/>
    <n v="1206"/>
    <n v="4"/>
    <s v="Male"/>
    <n v="74"/>
    <n v="1"/>
    <n v="1"/>
    <x v="1"/>
    <n v="3"/>
    <x v="0"/>
    <n v="2290"/>
    <n v="4279"/>
    <n v="2"/>
    <s v="Y"/>
    <x v="1"/>
    <n v="13"/>
    <n v="3"/>
    <n v="4"/>
    <n v="80"/>
    <n v="0"/>
    <n v="6"/>
    <n v="3"/>
    <x v="1"/>
    <n v="0"/>
    <n v="0"/>
    <n v="0"/>
    <n v="0"/>
    <x v="0"/>
    <x v="1"/>
  </r>
  <r>
    <n v="33"/>
    <x v="1"/>
    <x v="0"/>
    <n v="147"/>
    <x v="2"/>
    <n v="2"/>
    <n v="3"/>
    <s v="Human Resources"/>
    <n v="1"/>
    <n v="1207"/>
    <n v="2"/>
    <s v="Male"/>
    <n v="99"/>
    <n v="3"/>
    <n v="1"/>
    <x v="8"/>
    <n v="3"/>
    <x v="1"/>
    <n v="3600"/>
    <n v="8429"/>
    <n v="1"/>
    <s v="Y"/>
    <x v="1"/>
    <n v="13"/>
    <n v="3"/>
    <n v="4"/>
    <n v="80"/>
    <n v="1"/>
    <n v="5"/>
    <n v="2"/>
    <x v="1"/>
    <n v="5"/>
    <n v="4"/>
    <n v="1"/>
    <n v="4"/>
    <x v="0"/>
    <x v="1"/>
  </r>
  <r>
    <n v="41"/>
    <x v="0"/>
    <x v="2"/>
    <n v="906"/>
    <x v="1"/>
    <n v="5"/>
    <n v="2"/>
    <s v="Life Sciences"/>
    <n v="1"/>
    <n v="1210"/>
    <n v="1"/>
    <s v="Male"/>
    <n v="95"/>
    <n v="2"/>
    <n v="1"/>
    <x v="1"/>
    <n v="1"/>
    <x v="2"/>
    <n v="2107"/>
    <n v="20293"/>
    <n v="6"/>
    <s v="Y"/>
    <x v="1"/>
    <n v="17"/>
    <n v="3"/>
    <n v="1"/>
    <n v="80"/>
    <n v="1"/>
    <n v="5"/>
    <n v="2"/>
    <x v="0"/>
    <n v="1"/>
    <n v="0"/>
    <n v="0"/>
    <n v="0"/>
    <x v="0"/>
    <x v="0"/>
  </r>
  <r>
    <n v="30"/>
    <x v="1"/>
    <x v="0"/>
    <n v="1329"/>
    <x v="0"/>
    <n v="29"/>
    <n v="4"/>
    <s v="Life Sciences"/>
    <n v="1"/>
    <n v="1211"/>
    <n v="3"/>
    <s v="Male"/>
    <n v="61"/>
    <n v="3"/>
    <n v="2"/>
    <x v="0"/>
    <n v="1"/>
    <x v="2"/>
    <n v="4115"/>
    <n v="13192"/>
    <n v="8"/>
    <s v="Y"/>
    <x v="1"/>
    <n v="19"/>
    <n v="3"/>
    <n v="3"/>
    <n v="80"/>
    <n v="3"/>
    <n v="8"/>
    <n v="3"/>
    <x v="1"/>
    <n v="4"/>
    <n v="3"/>
    <n v="0"/>
    <n v="3"/>
    <x v="1"/>
    <x v="1"/>
  </r>
  <r>
    <n v="40"/>
    <x v="1"/>
    <x v="1"/>
    <n v="1184"/>
    <x v="0"/>
    <n v="2"/>
    <n v="4"/>
    <s v="Medical"/>
    <n v="1"/>
    <n v="1212"/>
    <n v="2"/>
    <s v="Male"/>
    <n v="62"/>
    <n v="3"/>
    <n v="2"/>
    <x v="0"/>
    <n v="2"/>
    <x v="1"/>
    <n v="4327"/>
    <n v="25440"/>
    <n v="5"/>
    <s v="Y"/>
    <x v="1"/>
    <n v="12"/>
    <n v="3"/>
    <n v="4"/>
    <n v="80"/>
    <n v="3"/>
    <n v="5"/>
    <n v="2"/>
    <x v="1"/>
    <n v="0"/>
    <n v="0"/>
    <n v="0"/>
    <n v="0"/>
    <x v="0"/>
    <x v="1"/>
  </r>
  <r>
    <n v="50"/>
    <x v="1"/>
    <x v="1"/>
    <n v="1421"/>
    <x v="1"/>
    <n v="2"/>
    <n v="3"/>
    <s v="Medical"/>
    <n v="1"/>
    <n v="1215"/>
    <n v="4"/>
    <s v="Female"/>
    <n v="30"/>
    <n v="3"/>
    <n v="4"/>
    <x v="5"/>
    <n v="1"/>
    <x v="1"/>
    <n v="17856"/>
    <n v="9490"/>
    <n v="2"/>
    <s v="Y"/>
    <x v="1"/>
    <n v="22"/>
    <n v="4"/>
    <n v="3"/>
    <n v="80"/>
    <n v="1"/>
    <n v="32"/>
    <n v="3"/>
    <x v="1"/>
    <n v="2"/>
    <n v="2"/>
    <n v="2"/>
    <n v="2"/>
    <x v="0"/>
    <x v="1"/>
  </r>
  <r>
    <n v="28"/>
    <x v="1"/>
    <x v="0"/>
    <n v="1179"/>
    <x v="1"/>
    <n v="19"/>
    <n v="4"/>
    <s v="Medical"/>
    <n v="1"/>
    <n v="1216"/>
    <n v="4"/>
    <s v="Male"/>
    <n v="78"/>
    <n v="2"/>
    <n v="1"/>
    <x v="2"/>
    <n v="1"/>
    <x v="1"/>
    <n v="3196"/>
    <n v="12449"/>
    <n v="1"/>
    <s v="Y"/>
    <x v="1"/>
    <n v="12"/>
    <n v="3"/>
    <n v="3"/>
    <n v="80"/>
    <n v="3"/>
    <n v="6"/>
    <n v="2"/>
    <x v="1"/>
    <n v="6"/>
    <n v="5"/>
    <n v="3"/>
    <n v="3"/>
    <x v="1"/>
    <x v="1"/>
  </r>
  <r>
    <n v="46"/>
    <x v="1"/>
    <x v="0"/>
    <n v="1450"/>
    <x v="1"/>
    <n v="15"/>
    <n v="2"/>
    <s v="Life Sciences"/>
    <n v="1"/>
    <n v="1217"/>
    <n v="4"/>
    <s v="Male"/>
    <n v="52"/>
    <n v="3"/>
    <n v="5"/>
    <x v="7"/>
    <n v="2"/>
    <x v="1"/>
    <n v="19081"/>
    <n v="10849"/>
    <n v="5"/>
    <s v="Y"/>
    <x v="1"/>
    <n v="11"/>
    <n v="3"/>
    <n v="1"/>
    <n v="80"/>
    <n v="1"/>
    <n v="25"/>
    <n v="2"/>
    <x v="1"/>
    <n v="4"/>
    <n v="2"/>
    <n v="0"/>
    <n v="3"/>
    <x v="0"/>
    <x v="1"/>
  </r>
  <r>
    <n v="35"/>
    <x v="1"/>
    <x v="0"/>
    <n v="1361"/>
    <x v="0"/>
    <n v="17"/>
    <n v="4"/>
    <s v="Life Sciences"/>
    <n v="1"/>
    <n v="1218"/>
    <n v="3"/>
    <s v="Male"/>
    <n v="94"/>
    <n v="3"/>
    <n v="2"/>
    <x v="0"/>
    <n v="1"/>
    <x v="1"/>
    <n v="8966"/>
    <n v="21026"/>
    <n v="3"/>
    <s v="Y"/>
    <x v="0"/>
    <n v="15"/>
    <n v="3"/>
    <n v="4"/>
    <n v="80"/>
    <n v="3"/>
    <n v="15"/>
    <n v="2"/>
    <x v="1"/>
    <n v="7"/>
    <n v="7"/>
    <n v="1"/>
    <n v="7"/>
    <x v="0"/>
    <x v="1"/>
  </r>
  <r>
    <n v="24"/>
    <x v="0"/>
    <x v="0"/>
    <n v="984"/>
    <x v="1"/>
    <n v="17"/>
    <n v="2"/>
    <s v="Life Sciences"/>
    <n v="1"/>
    <n v="1219"/>
    <n v="4"/>
    <s v="Female"/>
    <n v="97"/>
    <n v="3"/>
    <n v="1"/>
    <x v="2"/>
    <n v="2"/>
    <x v="1"/>
    <n v="2210"/>
    <n v="3372"/>
    <n v="1"/>
    <s v="Y"/>
    <x v="1"/>
    <n v="13"/>
    <n v="3"/>
    <n v="1"/>
    <n v="80"/>
    <n v="1"/>
    <n v="1"/>
    <n v="3"/>
    <x v="0"/>
    <n v="1"/>
    <n v="0"/>
    <n v="0"/>
    <n v="0"/>
    <x v="1"/>
    <x v="0"/>
  </r>
  <r>
    <n v="33"/>
    <x v="1"/>
    <x v="1"/>
    <n v="1146"/>
    <x v="0"/>
    <n v="25"/>
    <n v="3"/>
    <s v="Medical"/>
    <n v="1"/>
    <n v="1220"/>
    <n v="2"/>
    <s v="Female"/>
    <n v="82"/>
    <n v="3"/>
    <n v="2"/>
    <x v="0"/>
    <n v="3"/>
    <x v="1"/>
    <n v="4539"/>
    <n v="4905"/>
    <n v="1"/>
    <s v="Y"/>
    <x v="1"/>
    <n v="12"/>
    <n v="3"/>
    <n v="1"/>
    <n v="80"/>
    <n v="1"/>
    <n v="10"/>
    <n v="3"/>
    <x v="2"/>
    <n v="10"/>
    <n v="7"/>
    <n v="0"/>
    <n v="1"/>
    <x v="0"/>
    <x v="2"/>
  </r>
  <r>
    <n v="36"/>
    <x v="1"/>
    <x v="0"/>
    <n v="917"/>
    <x v="1"/>
    <n v="6"/>
    <n v="4"/>
    <s v="Life Sciences"/>
    <n v="1"/>
    <n v="1221"/>
    <n v="3"/>
    <s v="Male"/>
    <n v="60"/>
    <n v="1"/>
    <n v="1"/>
    <x v="2"/>
    <n v="3"/>
    <x v="2"/>
    <n v="2741"/>
    <n v="6865"/>
    <n v="1"/>
    <s v="Y"/>
    <x v="1"/>
    <n v="14"/>
    <n v="3"/>
    <n v="3"/>
    <n v="80"/>
    <n v="1"/>
    <n v="7"/>
    <n v="4"/>
    <x v="1"/>
    <n v="7"/>
    <n v="7"/>
    <n v="1"/>
    <n v="7"/>
    <x v="0"/>
    <x v="1"/>
  </r>
  <r>
    <n v="30"/>
    <x v="1"/>
    <x v="0"/>
    <n v="853"/>
    <x v="1"/>
    <n v="7"/>
    <n v="4"/>
    <s v="Life Sciences"/>
    <n v="1"/>
    <n v="1224"/>
    <n v="3"/>
    <s v="Male"/>
    <n v="49"/>
    <n v="3"/>
    <n v="2"/>
    <x v="2"/>
    <n v="3"/>
    <x v="2"/>
    <n v="3491"/>
    <n v="11309"/>
    <n v="1"/>
    <s v="Y"/>
    <x v="1"/>
    <n v="13"/>
    <n v="3"/>
    <n v="1"/>
    <n v="80"/>
    <n v="3"/>
    <n v="10"/>
    <n v="4"/>
    <x v="2"/>
    <n v="10"/>
    <n v="7"/>
    <n v="8"/>
    <n v="9"/>
    <x v="1"/>
    <x v="2"/>
  </r>
  <r>
    <n v="44"/>
    <x v="1"/>
    <x v="0"/>
    <n v="200"/>
    <x v="1"/>
    <n v="29"/>
    <n v="4"/>
    <s v="Other"/>
    <n v="1"/>
    <n v="1225"/>
    <n v="4"/>
    <s v="Male"/>
    <n v="32"/>
    <n v="3"/>
    <n v="2"/>
    <x v="1"/>
    <n v="4"/>
    <x v="0"/>
    <n v="4541"/>
    <n v="7744"/>
    <n v="1"/>
    <s v="Y"/>
    <x v="1"/>
    <n v="25"/>
    <n v="4"/>
    <n v="2"/>
    <n v="80"/>
    <n v="0"/>
    <n v="20"/>
    <n v="3"/>
    <x v="1"/>
    <n v="20"/>
    <n v="11"/>
    <n v="13"/>
    <n v="17"/>
    <x v="0"/>
    <x v="1"/>
  </r>
  <r>
    <n v="20"/>
    <x v="1"/>
    <x v="0"/>
    <n v="654"/>
    <x v="0"/>
    <n v="21"/>
    <n v="3"/>
    <s v="Marketing"/>
    <n v="1"/>
    <n v="1226"/>
    <n v="3"/>
    <s v="Male"/>
    <n v="43"/>
    <n v="4"/>
    <n v="1"/>
    <x v="6"/>
    <n v="4"/>
    <x v="0"/>
    <n v="2678"/>
    <n v="5050"/>
    <n v="1"/>
    <s v="Y"/>
    <x v="1"/>
    <n v="17"/>
    <n v="3"/>
    <n v="4"/>
    <n v="80"/>
    <n v="0"/>
    <n v="2"/>
    <n v="2"/>
    <x v="1"/>
    <n v="2"/>
    <n v="1"/>
    <n v="2"/>
    <n v="2"/>
    <x v="1"/>
    <x v="1"/>
  </r>
  <r>
    <n v="46"/>
    <x v="1"/>
    <x v="0"/>
    <n v="150"/>
    <x v="1"/>
    <n v="2"/>
    <n v="4"/>
    <s v="Technical Degree"/>
    <n v="1"/>
    <n v="1228"/>
    <n v="4"/>
    <s v="Male"/>
    <n v="60"/>
    <n v="3"/>
    <n v="2"/>
    <x v="3"/>
    <n v="4"/>
    <x v="2"/>
    <n v="7379"/>
    <n v="17433"/>
    <n v="2"/>
    <s v="Y"/>
    <x v="1"/>
    <n v="11"/>
    <n v="3"/>
    <n v="3"/>
    <n v="80"/>
    <n v="1"/>
    <n v="12"/>
    <n v="3"/>
    <x v="2"/>
    <n v="6"/>
    <n v="3"/>
    <n v="1"/>
    <n v="4"/>
    <x v="0"/>
    <x v="2"/>
  </r>
  <r>
    <n v="42"/>
    <x v="1"/>
    <x v="2"/>
    <n v="179"/>
    <x v="2"/>
    <n v="2"/>
    <n v="5"/>
    <s v="Medical"/>
    <n v="1"/>
    <n v="1231"/>
    <n v="4"/>
    <s v="Male"/>
    <n v="79"/>
    <n v="4"/>
    <n v="2"/>
    <x v="8"/>
    <n v="1"/>
    <x v="1"/>
    <n v="6272"/>
    <n v="12858"/>
    <n v="7"/>
    <s v="Y"/>
    <x v="1"/>
    <n v="16"/>
    <n v="3"/>
    <n v="1"/>
    <n v="80"/>
    <n v="1"/>
    <n v="10"/>
    <n v="3"/>
    <x v="3"/>
    <n v="4"/>
    <n v="3"/>
    <n v="0"/>
    <n v="3"/>
    <x v="0"/>
    <x v="3"/>
  </r>
  <r>
    <n v="60"/>
    <x v="1"/>
    <x v="0"/>
    <n v="696"/>
    <x v="0"/>
    <n v="7"/>
    <n v="4"/>
    <s v="Marketing"/>
    <n v="1"/>
    <n v="1233"/>
    <n v="2"/>
    <s v="Male"/>
    <n v="52"/>
    <n v="4"/>
    <n v="2"/>
    <x v="0"/>
    <n v="4"/>
    <x v="2"/>
    <n v="5220"/>
    <n v="10893"/>
    <n v="0"/>
    <s v="Y"/>
    <x v="0"/>
    <n v="18"/>
    <n v="3"/>
    <n v="2"/>
    <n v="80"/>
    <n v="1"/>
    <n v="12"/>
    <n v="3"/>
    <x v="1"/>
    <n v="11"/>
    <n v="7"/>
    <n v="1"/>
    <n v="9"/>
    <x v="2"/>
    <x v="1"/>
  </r>
  <r>
    <n v="32"/>
    <x v="1"/>
    <x v="1"/>
    <n v="116"/>
    <x v="1"/>
    <n v="13"/>
    <n v="3"/>
    <s v="Other"/>
    <n v="1"/>
    <n v="1234"/>
    <n v="3"/>
    <s v="Female"/>
    <n v="77"/>
    <n v="2"/>
    <n v="1"/>
    <x v="2"/>
    <n v="2"/>
    <x v="1"/>
    <n v="2743"/>
    <n v="7331"/>
    <n v="1"/>
    <s v="Y"/>
    <x v="1"/>
    <n v="20"/>
    <n v="4"/>
    <n v="3"/>
    <n v="80"/>
    <n v="1"/>
    <n v="2"/>
    <n v="2"/>
    <x v="1"/>
    <n v="2"/>
    <n v="2"/>
    <n v="2"/>
    <n v="2"/>
    <x v="0"/>
    <x v="1"/>
  </r>
  <r>
    <n v="32"/>
    <x v="1"/>
    <x v="1"/>
    <n v="1316"/>
    <x v="1"/>
    <n v="2"/>
    <n v="2"/>
    <s v="Life Sciences"/>
    <n v="1"/>
    <n v="1235"/>
    <n v="4"/>
    <s v="Female"/>
    <n v="38"/>
    <n v="3"/>
    <n v="2"/>
    <x v="1"/>
    <n v="3"/>
    <x v="0"/>
    <n v="4998"/>
    <n v="2338"/>
    <n v="4"/>
    <s v="Y"/>
    <x v="0"/>
    <n v="14"/>
    <n v="3"/>
    <n v="4"/>
    <n v="80"/>
    <n v="0"/>
    <n v="10"/>
    <n v="2"/>
    <x v="1"/>
    <n v="8"/>
    <n v="7"/>
    <n v="0"/>
    <n v="7"/>
    <x v="0"/>
    <x v="1"/>
  </r>
  <r>
    <n v="36"/>
    <x v="1"/>
    <x v="0"/>
    <n v="363"/>
    <x v="1"/>
    <n v="1"/>
    <n v="3"/>
    <s v="Technical Degree"/>
    <n v="1"/>
    <n v="1237"/>
    <n v="3"/>
    <s v="Female"/>
    <n v="77"/>
    <n v="1"/>
    <n v="3"/>
    <x v="3"/>
    <n v="1"/>
    <x v="2"/>
    <n v="10252"/>
    <n v="4235"/>
    <n v="2"/>
    <s v="Y"/>
    <x v="0"/>
    <n v="21"/>
    <n v="4"/>
    <n v="3"/>
    <n v="80"/>
    <n v="1"/>
    <n v="17"/>
    <n v="2"/>
    <x v="1"/>
    <n v="7"/>
    <n v="7"/>
    <n v="7"/>
    <n v="7"/>
    <x v="0"/>
    <x v="1"/>
  </r>
  <r>
    <n v="33"/>
    <x v="1"/>
    <x v="0"/>
    <n v="117"/>
    <x v="1"/>
    <n v="9"/>
    <n v="3"/>
    <s v="Medical"/>
    <n v="1"/>
    <n v="1238"/>
    <n v="1"/>
    <s v="Male"/>
    <n v="60"/>
    <n v="3"/>
    <n v="1"/>
    <x v="1"/>
    <n v="4"/>
    <x v="1"/>
    <n v="2781"/>
    <n v="6311"/>
    <n v="0"/>
    <s v="Y"/>
    <x v="1"/>
    <n v="13"/>
    <n v="3"/>
    <n v="2"/>
    <n v="80"/>
    <n v="1"/>
    <n v="15"/>
    <n v="5"/>
    <x v="1"/>
    <n v="14"/>
    <n v="10"/>
    <n v="4"/>
    <n v="10"/>
    <x v="0"/>
    <x v="1"/>
  </r>
  <r>
    <n v="40"/>
    <x v="1"/>
    <x v="0"/>
    <n v="107"/>
    <x v="0"/>
    <n v="10"/>
    <n v="3"/>
    <s v="Technical Degree"/>
    <n v="1"/>
    <n v="1239"/>
    <n v="2"/>
    <s v="Female"/>
    <n v="84"/>
    <n v="2"/>
    <n v="2"/>
    <x v="0"/>
    <n v="2"/>
    <x v="2"/>
    <n v="6852"/>
    <n v="11591"/>
    <n v="7"/>
    <s v="Y"/>
    <x v="1"/>
    <n v="12"/>
    <n v="3"/>
    <n v="2"/>
    <n v="80"/>
    <n v="1"/>
    <n v="7"/>
    <n v="2"/>
    <x v="3"/>
    <n v="5"/>
    <n v="1"/>
    <n v="1"/>
    <n v="3"/>
    <x v="0"/>
    <x v="3"/>
  </r>
  <r>
    <n v="25"/>
    <x v="1"/>
    <x v="0"/>
    <n v="1356"/>
    <x v="0"/>
    <n v="10"/>
    <n v="4"/>
    <s v="Life Sciences"/>
    <n v="1"/>
    <n v="1240"/>
    <n v="3"/>
    <s v="Male"/>
    <n v="57"/>
    <n v="3"/>
    <n v="2"/>
    <x v="0"/>
    <n v="4"/>
    <x v="0"/>
    <n v="4950"/>
    <n v="20623"/>
    <n v="0"/>
    <s v="Y"/>
    <x v="1"/>
    <n v="14"/>
    <n v="3"/>
    <n v="2"/>
    <n v="80"/>
    <n v="0"/>
    <n v="5"/>
    <n v="4"/>
    <x v="1"/>
    <n v="4"/>
    <n v="3"/>
    <n v="1"/>
    <n v="1"/>
    <x v="1"/>
    <x v="1"/>
  </r>
  <r>
    <n v="30"/>
    <x v="1"/>
    <x v="0"/>
    <n v="1465"/>
    <x v="1"/>
    <n v="1"/>
    <n v="3"/>
    <s v="Medical"/>
    <n v="1"/>
    <n v="1241"/>
    <n v="4"/>
    <s v="Male"/>
    <n v="63"/>
    <n v="3"/>
    <n v="1"/>
    <x v="1"/>
    <n v="2"/>
    <x v="1"/>
    <n v="3579"/>
    <n v="9369"/>
    <n v="0"/>
    <s v="Y"/>
    <x v="0"/>
    <n v="21"/>
    <n v="4"/>
    <n v="1"/>
    <n v="80"/>
    <n v="1"/>
    <n v="12"/>
    <n v="2"/>
    <x v="1"/>
    <n v="11"/>
    <n v="9"/>
    <n v="5"/>
    <n v="7"/>
    <x v="1"/>
    <x v="1"/>
  </r>
  <r>
    <n v="42"/>
    <x v="1"/>
    <x v="1"/>
    <n v="458"/>
    <x v="1"/>
    <n v="26"/>
    <n v="5"/>
    <s v="Medical"/>
    <n v="1"/>
    <n v="1242"/>
    <n v="1"/>
    <s v="Female"/>
    <n v="60"/>
    <n v="3"/>
    <n v="3"/>
    <x v="7"/>
    <n v="1"/>
    <x v="1"/>
    <n v="13191"/>
    <n v="23281"/>
    <n v="3"/>
    <s v="Y"/>
    <x v="0"/>
    <n v="17"/>
    <n v="3"/>
    <n v="3"/>
    <n v="80"/>
    <n v="0"/>
    <n v="20"/>
    <n v="6"/>
    <x v="1"/>
    <n v="1"/>
    <n v="0"/>
    <n v="0"/>
    <n v="0"/>
    <x v="0"/>
    <x v="1"/>
  </r>
  <r>
    <n v="35"/>
    <x v="1"/>
    <x v="2"/>
    <n v="1212"/>
    <x v="0"/>
    <n v="8"/>
    <n v="2"/>
    <s v="Marketing"/>
    <n v="1"/>
    <n v="1243"/>
    <n v="3"/>
    <s v="Female"/>
    <n v="78"/>
    <n v="2"/>
    <n v="3"/>
    <x v="0"/>
    <n v="4"/>
    <x v="1"/>
    <n v="10377"/>
    <n v="13755"/>
    <n v="4"/>
    <s v="Y"/>
    <x v="0"/>
    <n v="11"/>
    <n v="3"/>
    <n v="2"/>
    <n v="80"/>
    <n v="1"/>
    <n v="16"/>
    <n v="6"/>
    <x v="2"/>
    <n v="13"/>
    <n v="2"/>
    <n v="4"/>
    <n v="12"/>
    <x v="0"/>
    <x v="2"/>
  </r>
  <r>
    <n v="27"/>
    <x v="1"/>
    <x v="0"/>
    <n v="1103"/>
    <x v="1"/>
    <n v="14"/>
    <n v="3"/>
    <s v="Life Sciences"/>
    <n v="1"/>
    <n v="1244"/>
    <n v="1"/>
    <s v="Male"/>
    <n v="42"/>
    <n v="3"/>
    <n v="1"/>
    <x v="1"/>
    <n v="1"/>
    <x v="1"/>
    <n v="2235"/>
    <n v="14377"/>
    <n v="1"/>
    <s v="Y"/>
    <x v="0"/>
    <n v="14"/>
    <n v="3"/>
    <n v="4"/>
    <n v="80"/>
    <n v="2"/>
    <n v="9"/>
    <n v="3"/>
    <x v="2"/>
    <n v="9"/>
    <n v="7"/>
    <n v="6"/>
    <n v="8"/>
    <x v="1"/>
    <x v="2"/>
  </r>
  <r>
    <n v="54"/>
    <x v="1"/>
    <x v="1"/>
    <n v="966"/>
    <x v="1"/>
    <n v="1"/>
    <n v="4"/>
    <s v="Life Sciences"/>
    <n v="1"/>
    <n v="1245"/>
    <n v="4"/>
    <s v="Female"/>
    <n v="53"/>
    <n v="3"/>
    <n v="3"/>
    <x v="3"/>
    <n v="3"/>
    <x v="2"/>
    <n v="10502"/>
    <n v="9659"/>
    <n v="7"/>
    <s v="Y"/>
    <x v="1"/>
    <n v="17"/>
    <n v="3"/>
    <n v="1"/>
    <n v="80"/>
    <n v="1"/>
    <n v="33"/>
    <n v="2"/>
    <x v="0"/>
    <n v="5"/>
    <n v="4"/>
    <n v="1"/>
    <n v="4"/>
    <x v="2"/>
    <x v="0"/>
  </r>
  <r>
    <n v="44"/>
    <x v="1"/>
    <x v="0"/>
    <n v="1117"/>
    <x v="1"/>
    <n v="2"/>
    <n v="1"/>
    <s v="Life Sciences"/>
    <n v="1"/>
    <n v="1246"/>
    <n v="1"/>
    <s v="Female"/>
    <n v="72"/>
    <n v="4"/>
    <n v="1"/>
    <x v="1"/>
    <n v="4"/>
    <x v="1"/>
    <n v="2011"/>
    <n v="19982"/>
    <n v="1"/>
    <s v="Y"/>
    <x v="1"/>
    <n v="13"/>
    <n v="3"/>
    <n v="4"/>
    <n v="80"/>
    <n v="1"/>
    <n v="10"/>
    <n v="5"/>
    <x v="1"/>
    <n v="10"/>
    <n v="5"/>
    <n v="7"/>
    <n v="7"/>
    <x v="0"/>
    <x v="1"/>
  </r>
  <r>
    <n v="19"/>
    <x v="0"/>
    <x v="2"/>
    <n v="504"/>
    <x v="1"/>
    <n v="10"/>
    <n v="3"/>
    <s v="Medical"/>
    <n v="1"/>
    <n v="1248"/>
    <n v="1"/>
    <s v="Female"/>
    <n v="96"/>
    <n v="2"/>
    <n v="1"/>
    <x v="1"/>
    <n v="2"/>
    <x v="0"/>
    <n v="1859"/>
    <n v="6148"/>
    <n v="1"/>
    <s v="Y"/>
    <x v="0"/>
    <n v="25"/>
    <n v="4"/>
    <n v="2"/>
    <n v="80"/>
    <n v="0"/>
    <n v="1"/>
    <n v="2"/>
    <x v="3"/>
    <n v="1"/>
    <n v="1"/>
    <n v="0"/>
    <n v="0"/>
    <x v="1"/>
    <x v="3"/>
  </r>
  <r>
    <n v="29"/>
    <x v="1"/>
    <x v="0"/>
    <n v="1010"/>
    <x v="1"/>
    <n v="1"/>
    <n v="3"/>
    <s v="Life Sciences"/>
    <n v="1"/>
    <n v="1249"/>
    <n v="1"/>
    <s v="Female"/>
    <n v="97"/>
    <n v="3"/>
    <n v="1"/>
    <x v="1"/>
    <n v="4"/>
    <x v="2"/>
    <n v="3760"/>
    <n v="5598"/>
    <n v="1"/>
    <s v="Y"/>
    <x v="1"/>
    <n v="15"/>
    <n v="3"/>
    <n v="1"/>
    <n v="80"/>
    <n v="3"/>
    <n v="3"/>
    <n v="5"/>
    <x v="1"/>
    <n v="3"/>
    <n v="2"/>
    <n v="1"/>
    <n v="2"/>
    <x v="1"/>
    <x v="1"/>
  </r>
  <r>
    <n v="54"/>
    <x v="1"/>
    <x v="0"/>
    <n v="685"/>
    <x v="1"/>
    <n v="3"/>
    <n v="3"/>
    <s v="Life Sciences"/>
    <n v="1"/>
    <n v="1250"/>
    <n v="4"/>
    <s v="Male"/>
    <n v="85"/>
    <n v="3"/>
    <n v="4"/>
    <x v="7"/>
    <n v="4"/>
    <x v="1"/>
    <n v="17779"/>
    <n v="23474"/>
    <n v="3"/>
    <s v="Y"/>
    <x v="1"/>
    <n v="14"/>
    <n v="3"/>
    <n v="1"/>
    <n v="80"/>
    <n v="0"/>
    <n v="36"/>
    <n v="2"/>
    <x v="1"/>
    <n v="10"/>
    <n v="9"/>
    <n v="0"/>
    <n v="9"/>
    <x v="2"/>
    <x v="1"/>
  </r>
  <r>
    <n v="31"/>
    <x v="1"/>
    <x v="0"/>
    <n v="1332"/>
    <x v="1"/>
    <n v="11"/>
    <n v="2"/>
    <s v="Medical"/>
    <n v="1"/>
    <n v="1251"/>
    <n v="3"/>
    <s v="Male"/>
    <n v="80"/>
    <n v="3"/>
    <n v="2"/>
    <x v="4"/>
    <n v="1"/>
    <x v="1"/>
    <n v="6833"/>
    <n v="17089"/>
    <n v="1"/>
    <s v="Y"/>
    <x v="0"/>
    <n v="12"/>
    <n v="3"/>
    <n v="4"/>
    <n v="80"/>
    <n v="0"/>
    <n v="6"/>
    <n v="2"/>
    <x v="2"/>
    <n v="6"/>
    <n v="5"/>
    <n v="0"/>
    <n v="1"/>
    <x v="0"/>
    <x v="2"/>
  </r>
  <r>
    <n v="31"/>
    <x v="1"/>
    <x v="0"/>
    <n v="1062"/>
    <x v="1"/>
    <n v="24"/>
    <n v="3"/>
    <s v="Medical"/>
    <n v="1"/>
    <n v="1252"/>
    <n v="3"/>
    <s v="Female"/>
    <n v="96"/>
    <n v="2"/>
    <n v="2"/>
    <x v="4"/>
    <n v="1"/>
    <x v="0"/>
    <n v="6812"/>
    <n v="17198"/>
    <n v="1"/>
    <s v="Y"/>
    <x v="1"/>
    <n v="19"/>
    <n v="3"/>
    <n v="2"/>
    <n v="80"/>
    <n v="0"/>
    <n v="10"/>
    <n v="2"/>
    <x v="1"/>
    <n v="10"/>
    <n v="9"/>
    <n v="1"/>
    <n v="8"/>
    <x v="0"/>
    <x v="1"/>
  </r>
  <r>
    <n v="59"/>
    <x v="1"/>
    <x v="0"/>
    <n v="326"/>
    <x v="0"/>
    <n v="3"/>
    <n v="3"/>
    <s v="Life Sciences"/>
    <n v="1"/>
    <n v="1254"/>
    <n v="3"/>
    <s v="Female"/>
    <n v="48"/>
    <n v="2"/>
    <n v="2"/>
    <x v="0"/>
    <n v="4"/>
    <x v="0"/>
    <n v="5171"/>
    <n v="16490"/>
    <n v="5"/>
    <s v="Y"/>
    <x v="1"/>
    <n v="17"/>
    <n v="3"/>
    <n v="4"/>
    <n v="80"/>
    <n v="0"/>
    <n v="13"/>
    <n v="2"/>
    <x v="1"/>
    <n v="6"/>
    <n v="1"/>
    <n v="0"/>
    <n v="5"/>
    <x v="2"/>
    <x v="1"/>
  </r>
  <r>
    <n v="43"/>
    <x v="1"/>
    <x v="0"/>
    <n v="920"/>
    <x v="1"/>
    <n v="3"/>
    <n v="3"/>
    <s v="Life Sciences"/>
    <n v="1"/>
    <n v="1255"/>
    <n v="3"/>
    <s v="Male"/>
    <n v="96"/>
    <n v="1"/>
    <n v="5"/>
    <x v="7"/>
    <n v="4"/>
    <x v="1"/>
    <n v="19740"/>
    <n v="18625"/>
    <n v="3"/>
    <s v="Y"/>
    <x v="1"/>
    <n v="14"/>
    <n v="3"/>
    <n v="2"/>
    <n v="80"/>
    <n v="1"/>
    <n v="25"/>
    <n v="2"/>
    <x v="1"/>
    <n v="8"/>
    <n v="7"/>
    <n v="0"/>
    <n v="7"/>
    <x v="0"/>
    <x v="1"/>
  </r>
  <r>
    <n v="49"/>
    <x v="1"/>
    <x v="0"/>
    <n v="1098"/>
    <x v="1"/>
    <n v="4"/>
    <n v="2"/>
    <s v="Medical"/>
    <n v="1"/>
    <n v="1256"/>
    <n v="1"/>
    <s v="Male"/>
    <n v="85"/>
    <n v="2"/>
    <n v="5"/>
    <x v="5"/>
    <n v="3"/>
    <x v="1"/>
    <n v="18711"/>
    <n v="12124"/>
    <n v="2"/>
    <s v="Y"/>
    <x v="1"/>
    <n v="13"/>
    <n v="3"/>
    <n v="3"/>
    <n v="80"/>
    <n v="1"/>
    <n v="23"/>
    <n v="2"/>
    <x v="3"/>
    <n v="1"/>
    <n v="0"/>
    <n v="0"/>
    <n v="0"/>
    <x v="0"/>
    <x v="3"/>
  </r>
  <r>
    <n v="36"/>
    <x v="1"/>
    <x v="1"/>
    <n v="469"/>
    <x v="1"/>
    <n v="3"/>
    <n v="3"/>
    <s v="Technical Degree"/>
    <n v="1"/>
    <n v="1257"/>
    <n v="3"/>
    <s v="Male"/>
    <n v="46"/>
    <n v="3"/>
    <n v="1"/>
    <x v="1"/>
    <n v="2"/>
    <x v="1"/>
    <n v="3692"/>
    <n v="9256"/>
    <n v="1"/>
    <s v="Y"/>
    <x v="1"/>
    <n v="12"/>
    <n v="3"/>
    <n v="3"/>
    <n v="80"/>
    <n v="0"/>
    <n v="12"/>
    <n v="2"/>
    <x v="2"/>
    <n v="11"/>
    <n v="10"/>
    <n v="0"/>
    <n v="7"/>
    <x v="0"/>
    <x v="2"/>
  </r>
  <r>
    <n v="48"/>
    <x v="1"/>
    <x v="0"/>
    <n v="969"/>
    <x v="1"/>
    <n v="2"/>
    <n v="2"/>
    <s v="Technical Degree"/>
    <n v="1"/>
    <n v="1258"/>
    <n v="4"/>
    <s v="Male"/>
    <n v="76"/>
    <n v="4"/>
    <n v="1"/>
    <x v="2"/>
    <n v="2"/>
    <x v="0"/>
    <n v="2559"/>
    <n v="16620"/>
    <n v="5"/>
    <s v="Y"/>
    <x v="1"/>
    <n v="11"/>
    <n v="3"/>
    <n v="3"/>
    <n v="80"/>
    <n v="0"/>
    <n v="7"/>
    <n v="4"/>
    <x v="2"/>
    <n v="1"/>
    <n v="0"/>
    <n v="0"/>
    <n v="0"/>
    <x v="0"/>
    <x v="2"/>
  </r>
  <r>
    <n v="27"/>
    <x v="1"/>
    <x v="0"/>
    <n v="1167"/>
    <x v="1"/>
    <n v="4"/>
    <n v="2"/>
    <s v="Life Sciences"/>
    <n v="1"/>
    <n v="1259"/>
    <n v="1"/>
    <s v="Male"/>
    <n v="76"/>
    <n v="3"/>
    <n v="1"/>
    <x v="1"/>
    <n v="3"/>
    <x v="2"/>
    <n v="2517"/>
    <n v="3208"/>
    <n v="1"/>
    <s v="Y"/>
    <x v="1"/>
    <n v="11"/>
    <n v="3"/>
    <n v="2"/>
    <n v="80"/>
    <n v="3"/>
    <n v="5"/>
    <n v="2"/>
    <x v="1"/>
    <n v="5"/>
    <n v="3"/>
    <n v="0"/>
    <n v="3"/>
    <x v="1"/>
    <x v="1"/>
  </r>
  <r>
    <n v="29"/>
    <x v="1"/>
    <x v="0"/>
    <n v="1329"/>
    <x v="1"/>
    <n v="7"/>
    <n v="3"/>
    <s v="Life Sciences"/>
    <n v="1"/>
    <n v="1260"/>
    <n v="3"/>
    <s v="Male"/>
    <n v="82"/>
    <n v="3"/>
    <n v="2"/>
    <x v="4"/>
    <n v="4"/>
    <x v="2"/>
    <n v="6623"/>
    <n v="4204"/>
    <n v="1"/>
    <s v="Y"/>
    <x v="0"/>
    <n v="11"/>
    <n v="3"/>
    <n v="2"/>
    <n v="80"/>
    <n v="2"/>
    <n v="6"/>
    <n v="2"/>
    <x v="1"/>
    <n v="6"/>
    <n v="0"/>
    <n v="1"/>
    <n v="0"/>
    <x v="1"/>
    <x v="1"/>
  </r>
  <r>
    <n v="48"/>
    <x v="1"/>
    <x v="0"/>
    <n v="715"/>
    <x v="1"/>
    <n v="1"/>
    <n v="3"/>
    <s v="Life Sciences"/>
    <n v="1"/>
    <n v="1263"/>
    <n v="4"/>
    <s v="Male"/>
    <n v="76"/>
    <n v="2"/>
    <n v="5"/>
    <x v="7"/>
    <n v="4"/>
    <x v="0"/>
    <n v="18265"/>
    <n v="8733"/>
    <n v="6"/>
    <s v="Y"/>
    <x v="1"/>
    <n v="12"/>
    <n v="3"/>
    <n v="3"/>
    <n v="80"/>
    <n v="0"/>
    <n v="25"/>
    <n v="3"/>
    <x v="3"/>
    <n v="1"/>
    <n v="0"/>
    <n v="0"/>
    <n v="0"/>
    <x v="0"/>
    <x v="3"/>
  </r>
  <r>
    <n v="29"/>
    <x v="1"/>
    <x v="0"/>
    <n v="694"/>
    <x v="1"/>
    <n v="1"/>
    <n v="3"/>
    <s v="Life Sciences"/>
    <n v="1"/>
    <n v="1264"/>
    <n v="4"/>
    <s v="Female"/>
    <n v="87"/>
    <n v="2"/>
    <n v="4"/>
    <x v="7"/>
    <n v="4"/>
    <x v="2"/>
    <n v="16124"/>
    <n v="3423"/>
    <n v="3"/>
    <s v="Y"/>
    <x v="1"/>
    <n v="14"/>
    <n v="3"/>
    <n v="2"/>
    <n v="80"/>
    <n v="2"/>
    <n v="9"/>
    <n v="2"/>
    <x v="2"/>
    <n v="7"/>
    <n v="7"/>
    <n v="1"/>
    <n v="7"/>
    <x v="1"/>
    <x v="2"/>
  </r>
  <r>
    <n v="34"/>
    <x v="1"/>
    <x v="0"/>
    <n v="1320"/>
    <x v="1"/>
    <n v="20"/>
    <n v="3"/>
    <s v="Technical Degree"/>
    <n v="1"/>
    <n v="1265"/>
    <n v="3"/>
    <s v="Female"/>
    <n v="89"/>
    <n v="4"/>
    <n v="1"/>
    <x v="1"/>
    <n v="3"/>
    <x v="1"/>
    <n v="2585"/>
    <n v="21643"/>
    <n v="0"/>
    <s v="Y"/>
    <x v="1"/>
    <n v="17"/>
    <n v="3"/>
    <n v="4"/>
    <n v="80"/>
    <n v="0"/>
    <n v="2"/>
    <n v="5"/>
    <x v="2"/>
    <n v="1"/>
    <n v="0"/>
    <n v="0"/>
    <n v="0"/>
    <x v="0"/>
    <x v="2"/>
  </r>
  <r>
    <n v="44"/>
    <x v="1"/>
    <x v="0"/>
    <n v="1099"/>
    <x v="0"/>
    <n v="5"/>
    <n v="3"/>
    <s v="Marketing"/>
    <n v="1"/>
    <n v="1267"/>
    <n v="2"/>
    <s v="Male"/>
    <n v="88"/>
    <n v="3"/>
    <n v="5"/>
    <x v="5"/>
    <n v="2"/>
    <x v="1"/>
    <n v="18213"/>
    <n v="8751"/>
    <n v="7"/>
    <s v="Y"/>
    <x v="1"/>
    <n v="11"/>
    <n v="3"/>
    <n v="3"/>
    <n v="80"/>
    <n v="1"/>
    <n v="26"/>
    <n v="5"/>
    <x v="1"/>
    <n v="22"/>
    <n v="9"/>
    <n v="3"/>
    <n v="10"/>
    <x v="0"/>
    <x v="1"/>
  </r>
  <r>
    <n v="33"/>
    <x v="1"/>
    <x v="0"/>
    <n v="536"/>
    <x v="0"/>
    <n v="10"/>
    <n v="5"/>
    <s v="Marketing"/>
    <n v="1"/>
    <n v="1268"/>
    <n v="4"/>
    <s v="Male"/>
    <n v="82"/>
    <n v="4"/>
    <n v="3"/>
    <x v="0"/>
    <n v="3"/>
    <x v="2"/>
    <n v="8380"/>
    <n v="21708"/>
    <n v="0"/>
    <s v="Y"/>
    <x v="0"/>
    <n v="14"/>
    <n v="3"/>
    <n v="4"/>
    <n v="80"/>
    <n v="2"/>
    <n v="10"/>
    <n v="3"/>
    <x v="1"/>
    <n v="9"/>
    <n v="8"/>
    <n v="0"/>
    <n v="8"/>
    <x v="0"/>
    <x v="1"/>
  </r>
  <r>
    <n v="19"/>
    <x v="1"/>
    <x v="0"/>
    <n v="265"/>
    <x v="1"/>
    <n v="25"/>
    <n v="3"/>
    <s v="Life Sciences"/>
    <n v="1"/>
    <n v="1269"/>
    <n v="2"/>
    <s v="Female"/>
    <n v="57"/>
    <n v="4"/>
    <n v="1"/>
    <x v="1"/>
    <n v="4"/>
    <x v="0"/>
    <n v="2994"/>
    <n v="21221"/>
    <n v="1"/>
    <s v="Y"/>
    <x v="0"/>
    <n v="12"/>
    <n v="3"/>
    <n v="4"/>
    <n v="80"/>
    <n v="0"/>
    <n v="1"/>
    <n v="2"/>
    <x v="1"/>
    <n v="1"/>
    <n v="0"/>
    <n v="0"/>
    <n v="1"/>
    <x v="1"/>
    <x v="1"/>
  </r>
  <r>
    <n v="23"/>
    <x v="1"/>
    <x v="0"/>
    <n v="373"/>
    <x v="1"/>
    <n v="1"/>
    <n v="2"/>
    <s v="Life Sciences"/>
    <n v="1"/>
    <n v="1270"/>
    <n v="4"/>
    <s v="Male"/>
    <n v="47"/>
    <n v="3"/>
    <n v="1"/>
    <x v="1"/>
    <n v="3"/>
    <x v="1"/>
    <n v="1223"/>
    <n v="16901"/>
    <n v="1"/>
    <s v="Y"/>
    <x v="1"/>
    <n v="22"/>
    <n v="4"/>
    <n v="4"/>
    <n v="80"/>
    <n v="1"/>
    <n v="1"/>
    <n v="2"/>
    <x v="1"/>
    <n v="1"/>
    <n v="0"/>
    <n v="0"/>
    <n v="1"/>
    <x v="1"/>
    <x v="1"/>
  </r>
  <r>
    <n v="25"/>
    <x v="0"/>
    <x v="1"/>
    <n v="599"/>
    <x v="0"/>
    <n v="24"/>
    <n v="1"/>
    <s v="Life Sciences"/>
    <n v="1"/>
    <n v="1273"/>
    <n v="3"/>
    <s v="Male"/>
    <n v="73"/>
    <n v="1"/>
    <n v="1"/>
    <x v="6"/>
    <n v="4"/>
    <x v="0"/>
    <n v="1118"/>
    <n v="8040"/>
    <n v="1"/>
    <s v="Y"/>
    <x v="0"/>
    <n v="14"/>
    <n v="3"/>
    <n v="4"/>
    <n v="80"/>
    <n v="0"/>
    <n v="1"/>
    <n v="4"/>
    <x v="1"/>
    <n v="1"/>
    <n v="0"/>
    <n v="1"/>
    <n v="0"/>
    <x v="1"/>
    <x v="1"/>
  </r>
  <r>
    <n v="26"/>
    <x v="1"/>
    <x v="0"/>
    <n v="583"/>
    <x v="1"/>
    <n v="4"/>
    <n v="2"/>
    <s v="Life Sciences"/>
    <n v="1"/>
    <n v="1275"/>
    <n v="3"/>
    <s v="Male"/>
    <n v="53"/>
    <n v="3"/>
    <n v="1"/>
    <x v="1"/>
    <n v="4"/>
    <x v="0"/>
    <n v="2875"/>
    <n v="9973"/>
    <n v="1"/>
    <s v="Y"/>
    <x v="0"/>
    <n v="20"/>
    <n v="4"/>
    <n v="2"/>
    <n v="80"/>
    <n v="0"/>
    <n v="8"/>
    <n v="2"/>
    <x v="2"/>
    <n v="8"/>
    <n v="5"/>
    <n v="2"/>
    <n v="2"/>
    <x v="1"/>
    <x v="2"/>
  </r>
  <r>
    <n v="45"/>
    <x v="0"/>
    <x v="0"/>
    <n v="1449"/>
    <x v="0"/>
    <n v="2"/>
    <n v="3"/>
    <s v="Marketing"/>
    <n v="1"/>
    <n v="1277"/>
    <n v="1"/>
    <s v="Female"/>
    <n v="94"/>
    <n v="1"/>
    <n v="5"/>
    <x v="5"/>
    <n v="2"/>
    <x v="0"/>
    <n v="18824"/>
    <n v="2493"/>
    <n v="2"/>
    <s v="Y"/>
    <x v="0"/>
    <n v="16"/>
    <n v="3"/>
    <n v="1"/>
    <n v="80"/>
    <n v="0"/>
    <n v="26"/>
    <n v="2"/>
    <x v="1"/>
    <n v="24"/>
    <n v="10"/>
    <n v="1"/>
    <n v="11"/>
    <x v="0"/>
    <x v="1"/>
  </r>
  <r>
    <n v="55"/>
    <x v="1"/>
    <x v="2"/>
    <n v="177"/>
    <x v="1"/>
    <n v="8"/>
    <n v="1"/>
    <s v="Medical"/>
    <n v="1"/>
    <n v="1278"/>
    <n v="4"/>
    <s v="Male"/>
    <n v="37"/>
    <n v="2"/>
    <n v="4"/>
    <x v="4"/>
    <n v="2"/>
    <x v="2"/>
    <n v="13577"/>
    <n v="25592"/>
    <n v="1"/>
    <s v="Y"/>
    <x v="0"/>
    <n v="15"/>
    <n v="3"/>
    <n v="4"/>
    <n v="80"/>
    <n v="1"/>
    <n v="34"/>
    <n v="3"/>
    <x v="1"/>
    <n v="33"/>
    <n v="9"/>
    <n v="15"/>
    <n v="0"/>
    <x v="2"/>
    <x v="1"/>
  </r>
  <r>
    <n v="21"/>
    <x v="0"/>
    <x v="1"/>
    <n v="251"/>
    <x v="1"/>
    <n v="10"/>
    <n v="2"/>
    <s v="Life Sciences"/>
    <n v="1"/>
    <n v="1279"/>
    <n v="1"/>
    <s v="Female"/>
    <n v="45"/>
    <n v="2"/>
    <n v="1"/>
    <x v="2"/>
    <n v="3"/>
    <x v="0"/>
    <n v="2625"/>
    <n v="25308"/>
    <n v="1"/>
    <s v="Y"/>
    <x v="1"/>
    <n v="20"/>
    <n v="4"/>
    <n v="3"/>
    <n v="80"/>
    <n v="0"/>
    <n v="2"/>
    <n v="2"/>
    <x v="0"/>
    <n v="2"/>
    <n v="2"/>
    <n v="2"/>
    <n v="2"/>
    <x v="1"/>
    <x v="0"/>
  </r>
  <r>
    <n v="46"/>
    <x v="1"/>
    <x v="0"/>
    <n v="168"/>
    <x v="0"/>
    <n v="4"/>
    <n v="2"/>
    <s v="Marketing"/>
    <n v="1"/>
    <n v="1280"/>
    <n v="4"/>
    <s v="Female"/>
    <n v="33"/>
    <n v="2"/>
    <n v="5"/>
    <x v="5"/>
    <n v="2"/>
    <x v="1"/>
    <n v="18789"/>
    <n v="9946"/>
    <n v="2"/>
    <s v="Y"/>
    <x v="1"/>
    <n v="14"/>
    <n v="3"/>
    <n v="3"/>
    <n v="80"/>
    <n v="1"/>
    <n v="26"/>
    <n v="2"/>
    <x v="1"/>
    <n v="11"/>
    <n v="4"/>
    <n v="0"/>
    <n v="8"/>
    <x v="0"/>
    <x v="1"/>
  </r>
  <r>
    <n v="34"/>
    <x v="1"/>
    <x v="0"/>
    <n v="131"/>
    <x v="0"/>
    <n v="2"/>
    <n v="3"/>
    <s v="Marketing"/>
    <n v="1"/>
    <n v="1281"/>
    <n v="3"/>
    <s v="Female"/>
    <n v="86"/>
    <n v="3"/>
    <n v="2"/>
    <x v="0"/>
    <n v="1"/>
    <x v="0"/>
    <n v="4538"/>
    <n v="6039"/>
    <n v="0"/>
    <s v="Y"/>
    <x v="0"/>
    <n v="12"/>
    <n v="3"/>
    <n v="4"/>
    <n v="80"/>
    <n v="0"/>
    <n v="4"/>
    <n v="3"/>
    <x v="1"/>
    <n v="3"/>
    <n v="2"/>
    <n v="0"/>
    <n v="2"/>
    <x v="0"/>
    <x v="1"/>
  </r>
  <r>
    <n v="51"/>
    <x v="1"/>
    <x v="1"/>
    <n v="237"/>
    <x v="0"/>
    <n v="9"/>
    <n v="3"/>
    <s v="Life Sciences"/>
    <n v="1"/>
    <n v="1282"/>
    <n v="4"/>
    <s v="Male"/>
    <n v="83"/>
    <n v="3"/>
    <n v="5"/>
    <x v="5"/>
    <n v="2"/>
    <x v="2"/>
    <n v="19847"/>
    <n v="19196"/>
    <n v="4"/>
    <s v="Y"/>
    <x v="0"/>
    <n v="24"/>
    <n v="4"/>
    <n v="1"/>
    <n v="80"/>
    <n v="1"/>
    <n v="31"/>
    <n v="5"/>
    <x v="2"/>
    <n v="29"/>
    <n v="10"/>
    <n v="11"/>
    <n v="10"/>
    <x v="2"/>
    <x v="2"/>
  </r>
  <r>
    <n v="59"/>
    <x v="1"/>
    <x v="0"/>
    <n v="1429"/>
    <x v="1"/>
    <n v="18"/>
    <n v="4"/>
    <s v="Medical"/>
    <n v="1"/>
    <n v="1283"/>
    <n v="4"/>
    <s v="Male"/>
    <n v="67"/>
    <n v="3"/>
    <n v="3"/>
    <x v="3"/>
    <n v="4"/>
    <x v="0"/>
    <n v="10512"/>
    <n v="20002"/>
    <n v="6"/>
    <s v="Y"/>
    <x v="1"/>
    <n v="12"/>
    <n v="3"/>
    <n v="4"/>
    <n v="80"/>
    <n v="0"/>
    <n v="25"/>
    <n v="6"/>
    <x v="2"/>
    <n v="9"/>
    <n v="7"/>
    <n v="5"/>
    <n v="4"/>
    <x v="2"/>
    <x v="2"/>
  </r>
  <r>
    <n v="34"/>
    <x v="1"/>
    <x v="1"/>
    <n v="135"/>
    <x v="1"/>
    <n v="19"/>
    <n v="3"/>
    <s v="Medical"/>
    <n v="1"/>
    <n v="1285"/>
    <n v="3"/>
    <s v="Female"/>
    <n v="46"/>
    <n v="3"/>
    <n v="2"/>
    <x v="2"/>
    <n v="2"/>
    <x v="2"/>
    <n v="4444"/>
    <n v="22534"/>
    <n v="4"/>
    <s v="Y"/>
    <x v="1"/>
    <n v="13"/>
    <n v="3"/>
    <n v="3"/>
    <n v="80"/>
    <n v="2"/>
    <n v="15"/>
    <n v="2"/>
    <x v="3"/>
    <n v="11"/>
    <n v="8"/>
    <n v="5"/>
    <n v="10"/>
    <x v="0"/>
    <x v="3"/>
  </r>
  <r>
    <n v="28"/>
    <x v="1"/>
    <x v="1"/>
    <n v="791"/>
    <x v="1"/>
    <n v="1"/>
    <n v="4"/>
    <s v="Medical"/>
    <n v="1"/>
    <n v="1286"/>
    <n v="4"/>
    <s v="Male"/>
    <n v="44"/>
    <n v="3"/>
    <n v="1"/>
    <x v="2"/>
    <n v="3"/>
    <x v="0"/>
    <n v="2154"/>
    <n v="6842"/>
    <n v="0"/>
    <s v="Y"/>
    <x v="0"/>
    <n v="11"/>
    <n v="3"/>
    <n v="3"/>
    <n v="80"/>
    <n v="0"/>
    <n v="5"/>
    <n v="2"/>
    <x v="2"/>
    <n v="4"/>
    <n v="2"/>
    <n v="0"/>
    <n v="2"/>
    <x v="1"/>
    <x v="2"/>
  </r>
  <r>
    <n v="44"/>
    <x v="1"/>
    <x v="0"/>
    <n v="1199"/>
    <x v="1"/>
    <n v="4"/>
    <n v="2"/>
    <s v="Life Sciences"/>
    <n v="1"/>
    <n v="1288"/>
    <n v="3"/>
    <s v="Male"/>
    <n v="92"/>
    <n v="4"/>
    <n v="5"/>
    <x v="5"/>
    <n v="1"/>
    <x v="2"/>
    <n v="19190"/>
    <n v="17477"/>
    <n v="1"/>
    <s v="Y"/>
    <x v="1"/>
    <n v="14"/>
    <n v="3"/>
    <n v="4"/>
    <n v="80"/>
    <n v="2"/>
    <n v="26"/>
    <n v="4"/>
    <x v="2"/>
    <n v="25"/>
    <n v="9"/>
    <n v="14"/>
    <n v="13"/>
    <x v="0"/>
    <x v="2"/>
  </r>
  <r>
    <n v="34"/>
    <x v="1"/>
    <x v="1"/>
    <n v="648"/>
    <x v="2"/>
    <n v="11"/>
    <n v="3"/>
    <s v="Life Sciences"/>
    <n v="1"/>
    <n v="1289"/>
    <n v="3"/>
    <s v="Male"/>
    <n v="56"/>
    <n v="2"/>
    <n v="2"/>
    <x v="8"/>
    <n v="2"/>
    <x v="1"/>
    <n v="4490"/>
    <n v="21833"/>
    <n v="4"/>
    <s v="Y"/>
    <x v="1"/>
    <n v="11"/>
    <n v="3"/>
    <n v="4"/>
    <n v="80"/>
    <n v="2"/>
    <n v="14"/>
    <n v="5"/>
    <x v="3"/>
    <n v="10"/>
    <n v="9"/>
    <n v="1"/>
    <n v="8"/>
    <x v="0"/>
    <x v="3"/>
  </r>
  <r>
    <n v="35"/>
    <x v="1"/>
    <x v="0"/>
    <n v="735"/>
    <x v="1"/>
    <n v="6"/>
    <n v="1"/>
    <s v="Life Sciences"/>
    <n v="1"/>
    <n v="1291"/>
    <n v="3"/>
    <s v="Male"/>
    <n v="66"/>
    <n v="3"/>
    <n v="1"/>
    <x v="1"/>
    <n v="3"/>
    <x v="1"/>
    <n v="3506"/>
    <n v="6020"/>
    <n v="0"/>
    <s v="Y"/>
    <x v="0"/>
    <n v="14"/>
    <n v="3"/>
    <n v="4"/>
    <n v="80"/>
    <n v="0"/>
    <n v="4"/>
    <n v="3"/>
    <x v="1"/>
    <n v="3"/>
    <n v="2"/>
    <n v="2"/>
    <n v="2"/>
    <x v="0"/>
    <x v="1"/>
  </r>
  <r>
    <n v="42"/>
    <x v="1"/>
    <x v="0"/>
    <n v="603"/>
    <x v="1"/>
    <n v="7"/>
    <n v="4"/>
    <s v="Medical"/>
    <n v="1"/>
    <n v="1292"/>
    <n v="2"/>
    <s v="Female"/>
    <n v="78"/>
    <n v="4"/>
    <n v="2"/>
    <x v="1"/>
    <n v="2"/>
    <x v="1"/>
    <n v="2372"/>
    <n v="5628"/>
    <n v="6"/>
    <s v="Y"/>
    <x v="0"/>
    <n v="16"/>
    <n v="3"/>
    <n v="4"/>
    <n v="80"/>
    <n v="0"/>
    <n v="18"/>
    <n v="2"/>
    <x v="1"/>
    <n v="1"/>
    <n v="0"/>
    <n v="0"/>
    <n v="0"/>
    <x v="0"/>
    <x v="1"/>
  </r>
  <r>
    <n v="43"/>
    <x v="1"/>
    <x v="0"/>
    <n v="531"/>
    <x v="0"/>
    <n v="4"/>
    <n v="4"/>
    <s v="Marketing"/>
    <n v="1"/>
    <n v="1293"/>
    <n v="4"/>
    <s v="Female"/>
    <n v="56"/>
    <n v="2"/>
    <n v="3"/>
    <x v="0"/>
    <n v="4"/>
    <x v="0"/>
    <n v="10231"/>
    <n v="20364"/>
    <n v="3"/>
    <s v="Y"/>
    <x v="1"/>
    <n v="14"/>
    <n v="3"/>
    <n v="4"/>
    <n v="80"/>
    <n v="0"/>
    <n v="23"/>
    <n v="3"/>
    <x v="3"/>
    <n v="21"/>
    <n v="7"/>
    <n v="15"/>
    <n v="17"/>
    <x v="0"/>
    <x v="3"/>
  </r>
  <r>
    <n v="36"/>
    <x v="1"/>
    <x v="0"/>
    <n v="429"/>
    <x v="1"/>
    <n v="2"/>
    <n v="4"/>
    <s v="Life Sciences"/>
    <n v="1"/>
    <n v="1294"/>
    <n v="3"/>
    <s v="Female"/>
    <n v="53"/>
    <n v="3"/>
    <n v="2"/>
    <x v="3"/>
    <n v="2"/>
    <x v="0"/>
    <n v="5410"/>
    <n v="2323"/>
    <n v="9"/>
    <s v="Y"/>
    <x v="0"/>
    <n v="11"/>
    <n v="3"/>
    <n v="4"/>
    <n v="80"/>
    <n v="0"/>
    <n v="18"/>
    <n v="2"/>
    <x v="1"/>
    <n v="16"/>
    <n v="14"/>
    <n v="5"/>
    <n v="12"/>
    <x v="0"/>
    <x v="1"/>
  </r>
  <r>
    <n v="44"/>
    <x v="0"/>
    <x v="0"/>
    <n v="621"/>
    <x v="1"/>
    <n v="15"/>
    <n v="3"/>
    <s v="Medical"/>
    <n v="1"/>
    <n v="1295"/>
    <n v="1"/>
    <s v="Female"/>
    <n v="73"/>
    <n v="3"/>
    <n v="3"/>
    <x v="4"/>
    <n v="4"/>
    <x v="1"/>
    <n v="7978"/>
    <n v="14075"/>
    <n v="1"/>
    <s v="Y"/>
    <x v="1"/>
    <n v="11"/>
    <n v="3"/>
    <n v="4"/>
    <n v="80"/>
    <n v="1"/>
    <n v="10"/>
    <n v="2"/>
    <x v="1"/>
    <n v="10"/>
    <n v="7"/>
    <n v="0"/>
    <n v="5"/>
    <x v="0"/>
    <x v="1"/>
  </r>
  <r>
    <n v="28"/>
    <x v="1"/>
    <x v="1"/>
    <n v="193"/>
    <x v="1"/>
    <n v="2"/>
    <n v="3"/>
    <s v="Life Sciences"/>
    <n v="1"/>
    <n v="1296"/>
    <n v="4"/>
    <s v="Male"/>
    <n v="52"/>
    <n v="2"/>
    <n v="1"/>
    <x v="2"/>
    <n v="4"/>
    <x v="1"/>
    <n v="3867"/>
    <n v="14222"/>
    <n v="1"/>
    <s v="Y"/>
    <x v="0"/>
    <n v="12"/>
    <n v="3"/>
    <n v="2"/>
    <n v="80"/>
    <n v="1"/>
    <n v="2"/>
    <n v="2"/>
    <x v="1"/>
    <n v="2"/>
    <n v="2"/>
    <n v="2"/>
    <n v="2"/>
    <x v="1"/>
    <x v="1"/>
  </r>
  <r>
    <n v="51"/>
    <x v="1"/>
    <x v="1"/>
    <n v="968"/>
    <x v="1"/>
    <n v="6"/>
    <n v="2"/>
    <s v="Medical"/>
    <n v="1"/>
    <n v="1297"/>
    <n v="2"/>
    <s v="Female"/>
    <n v="40"/>
    <n v="2"/>
    <n v="1"/>
    <x v="2"/>
    <n v="3"/>
    <x v="0"/>
    <n v="2838"/>
    <n v="4257"/>
    <n v="0"/>
    <s v="Y"/>
    <x v="1"/>
    <n v="14"/>
    <n v="3"/>
    <n v="2"/>
    <n v="80"/>
    <n v="0"/>
    <n v="8"/>
    <n v="6"/>
    <x v="2"/>
    <n v="7"/>
    <n v="0"/>
    <n v="7"/>
    <n v="7"/>
    <x v="2"/>
    <x v="2"/>
  </r>
  <r>
    <n v="30"/>
    <x v="1"/>
    <x v="2"/>
    <n v="879"/>
    <x v="1"/>
    <n v="9"/>
    <n v="2"/>
    <s v="Medical"/>
    <n v="1"/>
    <n v="1298"/>
    <n v="3"/>
    <s v="Female"/>
    <n v="72"/>
    <n v="3"/>
    <n v="2"/>
    <x v="3"/>
    <n v="3"/>
    <x v="0"/>
    <n v="4695"/>
    <n v="12858"/>
    <n v="7"/>
    <s v="Y"/>
    <x v="0"/>
    <n v="18"/>
    <n v="3"/>
    <n v="3"/>
    <n v="80"/>
    <n v="0"/>
    <n v="10"/>
    <n v="3"/>
    <x v="1"/>
    <n v="8"/>
    <n v="4"/>
    <n v="1"/>
    <n v="7"/>
    <x v="1"/>
    <x v="1"/>
  </r>
  <r>
    <n v="29"/>
    <x v="0"/>
    <x v="0"/>
    <n v="806"/>
    <x v="1"/>
    <n v="7"/>
    <n v="3"/>
    <s v="Technical Degree"/>
    <n v="1"/>
    <n v="1299"/>
    <n v="2"/>
    <s v="Female"/>
    <n v="39"/>
    <n v="3"/>
    <n v="1"/>
    <x v="2"/>
    <n v="3"/>
    <x v="2"/>
    <n v="3339"/>
    <n v="17285"/>
    <n v="3"/>
    <s v="Y"/>
    <x v="0"/>
    <n v="13"/>
    <n v="3"/>
    <n v="1"/>
    <n v="80"/>
    <n v="2"/>
    <n v="10"/>
    <n v="2"/>
    <x v="1"/>
    <n v="7"/>
    <n v="7"/>
    <n v="7"/>
    <n v="7"/>
    <x v="1"/>
    <x v="1"/>
  </r>
  <r>
    <n v="28"/>
    <x v="1"/>
    <x v="0"/>
    <n v="640"/>
    <x v="1"/>
    <n v="1"/>
    <n v="3"/>
    <s v="Technical Degree"/>
    <n v="1"/>
    <n v="1301"/>
    <n v="4"/>
    <s v="Male"/>
    <n v="84"/>
    <n v="3"/>
    <n v="1"/>
    <x v="1"/>
    <n v="1"/>
    <x v="0"/>
    <n v="2080"/>
    <n v="4732"/>
    <n v="2"/>
    <s v="Y"/>
    <x v="1"/>
    <n v="11"/>
    <n v="3"/>
    <n v="2"/>
    <n v="80"/>
    <n v="0"/>
    <n v="5"/>
    <n v="2"/>
    <x v="2"/>
    <n v="3"/>
    <n v="2"/>
    <n v="1"/>
    <n v="2"/>
    <x v="1"/>
    <x v="2"/>
  </r>
  <r>
    <n v="25"/>
    <x v="1"/>
    <x v="0"/>
    <n v="266"/>
    <x v="1"/>
    <n v="1"/>
    <n v="3"/>
    <s v="Medical"/>
    <n v="1"/>
    <n v="1303"/>
    <n v="4"/>
    <s v="Female"/>
    <n v="40"/>
    <n v="3"/>
    <n v="1"/>
    <x v="1"/>
    <n v="2"/>
    <x v="0"/>
    <n v="2096"/>
    <n v="18830"/>
    <n v="1"/>
    <s v="Y"/>
    <x v="1"/>
    <n v="18"/>
    <n v="3"/>
    <n v="4"/>
    <n v="80"/>
    <n v="0"/>
    <n v="2"/>
    <n v="3"/>
    <x v="2"/>
    <n v="2"/>
    <n v="2"/>
    <n v="2"/>
    <n v="1"/>
    <x v="1"/>
    <x v="2"/>
  </r>
  <r>
    <n v="32"/>
    <x v="1"/>
    <x v="0"/>
    <n v="604"/>
    <x v="0"/>
    <n v="8"/>
    <n v="3"/>
    <s v="Medical"/>
    <n v="1"/>
    <n v="1304"/>
    <n v="3"/>
    <s v="Male"/>
    <n v="56"/>
    <n v="4"/>
    <n v="2"/>
    <x v="0"/>
    <n v="4"/>
    <x v="1"/>
    <n v="6209"/>
    <n v="11693"/>
    <n v="1"/>
    <s v="Y"/>
    <x v="1"/>
    <n v="15"/>
    <n v="3"/>
    <n v="3"/>
    <n v="80"/>
    <n v="2"/>
    <n v="10"/>
    <n v="4"/>
    <x v="3"/>
    <n v="10"/>
    <n v="7"/>
    <n v="0"/>
    <n v="8"/>
    <x v="0"/>
    <x v="3"/>
  </r>
  <r>
    <n v="45"/>
    <x v="1"/>
    <x v="1"/>
    <n v="364"/>
    <x v="1"/>
    <n v="25"/>
    <n v="3"/>
    <s v="Medical"/>
    <n v="1"/>
    <n v="1306"/>
    <n v="2"/>
    <s v="Female"/>
    <n v="83"/>
    <n v="3"/>
    <n v="5"/>
    <x v="5"/>
    <n v="2"/>
    <x v="0"/>
    <n v="18061"/>
    <n v="13035"/>
    <n v="3"/>
    <s v="Y"/>
    <x v="1"/>
    <n v="22"/>
    <n v="4"/>
    <n v="3"/>
    <n v="80"/>
    <n v="0"/>
    <n v="22"/>
    <n v="4"/>
    <x v="1"/>
    <n v="0"/>
    <n v="0"/>
    <n v="0"/>
    <n v="0"/>
    <x v="0"/>
    <x v="1"/>
  </r>
  <r>
    <n v="39"/>
    <x v="1"/>
    <x v="0"/>
    <n v="412"/>
    <x v="1"/>
    <n v="13"/>
    <n v="4"/>
    <s v="Medical"/>
    <n v="1"/>
    <n v="1307"/>
    <n v="3"/>
    <s v="Female"/>
    <n v="94"/>
    <n v="2"/>
    <n v="4"/>
    <x v="5"/>
    <n v="2"/>
    <x v="2"/>
    <n v="17123"/>
    <n v="17334"/>
    <n v="6"/>
    <s v="Y"/>
    <x v="0"/>
    <n v="13"/>
    <n v="3"/>
    <n v="4"/>
    <n v="80"/>
    <n v="2"/>
    <n v="21"/>
    <n v="4"/>
    <x v="1"/>
    <n v="19"/>
    <n v="9"/>
    <n v="15"/>
    <n v="2"/>
    <x v="0"/>
    <x v="1"/>
  </r>
  <r>
    <n v="58"/>
    <x v="1"/>
    <x v="0"/>
    <n v="848"/>
    <x v="1"/>
    <n v="23"/>
    <n v="4"/>
    <s v="Life Sciences"/>
    <n v="1"/>
    <n v="1308"/>
    <n v="1"/>
    <s v="Male"/>
    <n v="88"/>
    <n v="3"/>
    <n v="1"/>
    <x v="1"/>
    <n v="3"/>
    <x v="2"/>
    <n v="2372"/>
    <n v="26076"/>
    <n v="1"/>
    <s v="Y"/>
    <x v="1"/>
    <n v="12"/>
    <n v="3"/>
    <n v="4"/>
    <n v="80"/>
    <n v="2"/>
    <n v="2"/>
    <n v="3"/>
    <x v="1"/>
    <n v="2"/>
    <n v="2"/>
    <n v="2"/>
    <n v="2"/>
    <x v="2"/>
    <x v="1"/>
  </r>
  <r>
    <n v="32"/>
    <x v="0"/>
    <x v="0"/>
    <n v="1089"/>
    <x v="1"/>
    <n v="7"/>
    <n v="2"/>
    <s v="Life Sciences"/>
    <n v="1"/>
    <n v="1309"/>
    <n v="4"/>
    <s v="Male"/>
    <n v="79"/>
    <n v="3"/>
    <n v="2"/>
    <x v="2"/>
    <n v="3"/>
    <x v="1"/>
    <n v="4883"/>
    <n v="22845"/>
    <n v="1"/>
    <s v="Y"/>
    <x v="1"/>
    <n v="18"/>
    <n v="3"/>
    <n v="1"/>
    <n v="80"/>
    <n v="1"/>
    <n v="10"/>
    <n v="3"/>
    <x v="1"/>
    <n v="10"/>
    <n v="4"/>
    <n v="1"/>
    <n v="1"/>
    <x v="0"/>
    <x v="1"/>
  </r>
  <r>
    <n v="39"/>
    <x v="0"/>
    <x v="0"/>
    <n v="360"/>
    <x v="1"/>
    <n v="23"/>
    <n v="3"/>
    <s v="Medical"/>
    <n v="1"/>
    <n v="1310"/>
    <n v="3"/>
    <s v="Male"/>
    <n v="93"/>
    <n v="3"/>
    <n v="1"/>
    <x v="1"/>
    <n v="1"/>
    <x v="0"/>
    <n v="3904"/>
    <n v="22154"/>
    <n v="0"/>
    <s v="Y"/>
    <x v="1"/>
    <n v="13"/>
    <n v="3"/>
    <n v="1"/>
    <n v="80"/>
    <n v="0"/>
    <n v="6"/>
    <n v="2"/>
    <x v="1"/>
    <n v="5"/>
    <n v="2"/>
    <n v="0"/>
    <n v="3"/>
    <x v="0"/>
    <x v="1"/>
  </r>
  <r>
    <n v="30"/>
    <x v="1"/>
    <x v="0"/>
    <n v="1138"/>
    <x v="1"/>
    <n v="6"/>
    <n v="3"/>
    <s v="Technical Degree"/>
    <n v="1"/>
    <n v="1311"/>
    <n v="1"/>
    <s v="Female"/>
    <n v="48"/>
    <n v="2"/>
    <n v="2"/>
    <x v="2"/>
    <n v="4"/>
    <x v="1"/>
    <n v="4627"/>
    <n v="23631"/>
    <n v="0"/>
    <s v="Y"/>
    <x v="1"/>
    <n v="12"/>
    <n v="3"/>
    <n v="1"/>
    <n v="80"/>
    <n v="1"/>
    <n v="10"/>
    <n v="6"/>
    <x v="1"/>
    <n v="9"/>
    <n v="2"/>
    <n v="6"/>
    <n v="7"/>
    <x v="1"/>
    <x v="1"/>
  </r>
  <r>
    <n v="36"/>
    <x v="1"/>
    <x v="0"/>
    <n v="325"/>
    <x v="1"/>
    <n v="10"/>
    <n v="4"/>
    <s v="Technical Degree"/>
    <n v="1"/>
    <n v="1312"/>
    <n v="4"/>
    <s v="Female"/>
    <n v="63"/>
    <n v="3"/>
    <n v="3"/>
    <x v="4"/>
    <n v="3"/>
    <x v="1"/>
    <n v="7094"/>
    <n v="5747"/>
    <n v="3"/>
    <s v="Y"/>
    <x v="1"/>
    <n v="12"/>
    <n v="3"/>
    <n v="1"/>
    <n v="80"/>
    <n v="0"/>
    <n v="10"/>
    <n v="0"/>
    <x v="1"/>
    <n v="7"/>
    <n v="7"/>
    <n v="1"/>
    <n v="7"/>
    <x v="0"/>
    <x v="1"/>
  </r>
  <r>
    <n v="46"/>
    <x v="1"/>
    <x v="0"/>
    <n v="991"/>
    <x v="2"/>
    <n v="1"/>
    <n v="2"/>
    <s v="Life Sciences"/>
    <n v="1"/>
    <n v="1314"/>
    <n v="4"/>
    <s v="Female"/>
    <n v="44"/>
    <n v="3"/>
    <n v="1"/>
    <x v="8"/>
    <n v="1"/>
    <x v="0"/>
    <n v="3423"/>
    <n v="22957"/>
    <n v="6"/>
    <s v="Y"/>
    <x v="1"/>
    <n v="12"/>
    <n v="3"/>
    <n v="3"/>
    <n v="80"/>
    <n v="0"/>
    <n v="10"/>
    <n v="3"/>
    <x v="3"/>
    <n v="7"/>
    <n v="6"/>
    <n v="5"/>
    <n v="7"/>
    <x v="0"/>
    <x v="3"/>
  </r>
  <r>
    <n v="28"/>
    <x v="1"/>
    <x v="2"/>
    <n v="1476"/>
    <x v="1"/>
    <n v="1"/>
    <n v="3"/>
    <s v="Life Sciences"/>
    <n v="1"/>
    <n v="1315"/>
    <n v="3"/>
    <s v="Female"/>
    <n v="55"/>
    <n v="1"/>
    <n v="2"/>
    <x v="2"/>
    <n v="4"/>
    <x v="1"/>
    <n v="6674"/>
    <n v="16392"/>
    <n v="0"/>
    <s v="Y"/>
    <x v="1"/>
    <n v="11"/>
    <n v="3"/>
    <n v="1"/>
    <n v="80"/>
    <n v="3"/>
    <n v="10"/>
    <n v="6"/>
    <x v="1"/>
    <n v="9"/>
    <n v="8"/>
    <n v="7"/>
    <n v="5"/>
    <x v="1"/>
    <x v="1"/>
  </r>
  <r>
    <n v="50"/>
    <x v="1"/>
    <x v="0"/>
    <n v="1322"/>
    <x v="1"/>
    <n v="28"/>
    <n v="3"/>
    <s v="Life Sciences"/>
    <n v="1"/>
    <n v="1317"/>
    <n v="4"/>
    <s v="Female"/>
    <n v="43"/>
    <n v="3"/>
    <n v="4"/>
    <x v="7"/>
    <n v="1"/>
    <x v="1"/>
    <n v="16880"/>
    <n v="22422"/>
    <n v="4"/>
    <s v="Y"/>
    <x v="0"/>
    <n v="11"/>
    <n v="3"/>
    <n v="2"/>
    <n v="80"/>
    <n v="0"/>
    <n v="25"/>
    <n v="2"/>
    <x v="1"/>
    <n v="3"/>
    <n v="2"/>
    <n v="1"/>
    <n v="2"/>
    <x v="0"/>
    <x v="1"/>
  </r>
  <r>
    <n v="40"/>
    <x v="0"/>
    <x v="0"/>
    <n v="299"/>
    <x v="0"/>
    <n v="25"/>
    <n v="4"/>
    <s v="Marketing"/>
    <n v="1"/>
    <n v="1318"/>
    <n v="4"/>
    <s v="Male"/>
    <n v="57"/>
    <n v="2"/>
    <n v="3"/>
    <x v="0"/>
    <n v="2"/>
    <x v="0"/>
    <n v="9094"/>
    <n v="17235"/>
    <n v="2"/>
    <s v="Y"/>
    <x v="0"/>
    <n v="12"/>
    <n v="3"/>
    <n v="3"/>
    <n v="80"/>
    <n v="0"/>
    <n v="9"/>
    <n v="2"/>
    <x v="1"/>
    <n v="5"/>
    <n v="4"/>
    <n v="1"/>
    <n v="0"/>
    <x v="0"/>
    <x v="1"/>
  </r>
  <r>
    <n v="52"/>
    <x v="0"/>
    <x v="0"/>
    <n v="1030"/>
    <x v="0"/>
    <n v="5"/>
    <n v="3"/>
    <s v="Life Sciences"/>
    <n v="1"/>
    <n v="1319"/>
    <n v="2"/>
    <s v="Male"/>
    <n v="64"/>
    <n v="3"/>
    <n v="3"/>
    <x v="0"/>
    <n v="2"/>
    <x v="0"/>
    <n v="8446"/>
    <n v="21534"/>
    <n v="9"/>
    <s v="Y"/>
    <x v="0"/>
    <n v="19"/>
    <n v="3"/>
    <n v="3"/>
    <n v="80"/>
    <n v="0"/>
    <n v="10"/>
    <n v="2"/>
    <x v="2"/>
    <n v="8"/>
    <n v="7"/>
    <n v="7"/>
    <n v="7"/>
    <x v="2"/>
    <x v="2"/>
  </r>
  <r>
    <n v="30"/>
    <x v="1"/>
    <x v="0"/>
    <n v="634"/>
    <x v="1"/>
    <n v="17"/>
    <n v="4"/>
    <s v="Medical"/>
    <n v="1"/>
    <n v="1321"/>
    <n v="2"/>
    <s v="Female"/>
    <n v="95"/>
    <n v="3"/>
    <n v="3"/>
    <x v="5"/>
    <n v="1"/>
    <x v="1"/>
    <n v="11916"/>
    <n v="25927"/>
    <n v="1"/>
    <s v="Y"/>
    <x v="0"/>
    <n v="23"/>
    <n v="4"/>
    <n v="4"/>
    <n v="80"/>
    <n v="2"/>
    <n v="9"/>
    <n v="2"/>
    <x v="1"/>
    <n v="9"/>
    <n v="1"/>
    <n v="0"/>
    <n v="8"/>
    <x v="1"/>
    <x v="1"/>
  </r>
  <r>
    <n v="39"/>
    <x v="1"/>
    <x v="0"/>
    <n v="524"/>
    <x v="1"/>
    <n v="18"/>
    <n v="2"/>
    <s v="Life Sciences"/>
    <n v="1"/>
    <n v="1322"/>
    <n v="1"/>
    <s v="Male"/>
    <n v="32"/>
    <n v="3"/>
    <n v="2"/>
    <x v="3"/>
    <n v="3"/>
    <x v="0"/>
    <n v="4534"/>
    <n v="13352"/>
    <n v="0"/>
    <s v="Y"/>
    <x v="1"/>
    <n v="11"/>
    <n v="3"/>
    <n v="1"/>
    <n v="80"/>
    <n v="0"/>
    <n v="9"/>
    <n v="6"/>
    <x v="1"/>
    <n v="8"/>
    <n v="7"/>
    <n v="1"/>
    <n v="7"/>
    <x v="0"/>
    <x v="1"/>
  </r>
  <r>
    <n v="31"/>
    <x v="1"/>
    <x v="2"/>
    <n v="587"/>
    <x v="0"/>
    <n v="2"/>
    <n v="4"/>
    <s v="Life Sciences"/>
    <n v="1"/>
    <n v="1324"/>
    <n v="4"/>
    <s v="Female"/>
    <n v="57"/>
    <n v="3"/>
    <n v="3"/>
    <x v="0"/>
    <n v="3"/>
    <x v="2"/>
    <n v="9852"/>
    <n v="8935"/>
    <n v="1"/>
    <s v="Y"/>
    <x v="0"/>
    <n v="19"/>
    <n v="3"/>
    <n v="1"/>
    <n v="80"/>
    <n v="1"/>
    <n v="10"/>
    <n v="5"/>
    <x v="2"/>
    <n v="10"/>
    <n v="8"/>
    <n v="9"/>
    <n v="6"/>
    <x v="0"/>
    <x v="2"/>
  </r>
  <r>
    <n v="41"/>
    <x v="1"/>
    <x v="2"/>
    <n v="256"/>
    <x v="0"/>
    <n v="10"/>
    <n v="2"/>
    <s v="Medical"/>
    <n v="1"/>
    <n v="1329"/>
    <n v="3"/>
    <s v="Male"/>
    <n v="40"/>
    <n v="1"/>
    <n v="2"/>
    <x v="0"/>
    <n v="2"/>
    <x v="0"/>
    <n v="6151"/>
    <n v="22074"/>
    <n v="1"/>
    <s v="Y"/>
    <x v="1"/>
    <n v="13"/>
    <n v="3"/>
    <n v="1"/>
    <n v="80"/>
    <n v="0"/>
    <n v="19"/>
    <n v="4"/>
    <x v="1"/>
    <n v="19"/>
    <n v="2"/>
    <n v="11"/>
    <n v="9"/>
    <x v="0"/>
    <x v="1"/>
  </r>
  <r>
    <n v="31"/>
    <x v="0"/>
    <x v="1"/>
    <n v="1060"/>
    <x v="0"/>
    <n v="1"/>
    <n v="3"/>
    <s v="Life Sciences"/>
    <n v="1"/>
    <n v="1331"/>
    <n v="4"/>
    <s v="Female"/>
    <n v="54"/>
    <n v="3"/>
    <n v="1"/>
    <x v="6"/>
    <n v="2"/>
    <x v="0"/>
    <n v="2302"/>
    <n v="8319"/>
    <n v="1"/>
    <s v="Y"/>
    <x v="0"/>
    <n v="11"/>
    <n v="3"/>
    <n v="1"/>
    <n v="80"/>
    <n v="0"/>
    <n v="3"/>
    <n v="2"/>
    <x v="3"/>
    <n v="3"/>
    <n v="2"/>
    <n v="2"/>
    <n v="2"/>
    <x v="0"/>
    <x v="3"/>
  </r>
  <r>
    <n v="44"/>
    <x v="0"/>
    <x v="0"/>
    <n v="935"/>
    <x v="1"/>
    <n v="3"/>
    <n v="3"/>
    <s v="Life Sciences"/>
    <n v="1"/>
    <n v="1333"/>
    <n v="1"/>
    <s v="Male"/>
    <n v="89"/>
    <n v="3"/>
    <n v="1"/>
    <x v="2"/>
    <n v="1"/>
    <x v="1"/>
    <n v="2362"/>
    <n v="14669"/>
    <n v="4"/>
    <s v="Y"/>
    <x v="1"/>
    <n v="12"/>
    <n v="3"/>
    <n v="3"/>
    <n v="80"/>
    <n v="0"/>
    <n v="10"/>
    <n v="4"/>
    <x v="3"/>
    <n v="3"/>
    <n v="2"/>
    <n v="1"/>
    <n v="2"/>
    <x v="0"/>
    <x v="3"/>
  </r>
  <r>
    <n v="42"/>
    <x v="1"/>
    <x v="2"/>
    <n v="495"/>
    <x v="1"/>
    <n v="2"/>
    <n v="1"/>
    <s v="Life Sciences"/>
    <n v="1"/>
    <n v="1334"/>
    <n v="3"/>
    <s v="Male"/>
    <n v="37"/>
    <n v="3"/>
    <n v="4"/>
    <x v="5"/>
    <n v="3"/>
    <x v="1"/>
    <n v="17861"/>
    <n v="26582"/>
    <n v="0"/>
    <s v="Y"/>
    <x v="0"/>
    <n v="13"/>
    <n v="3"/>
    <n v="4"/>
    <n v="80"/>
    <n v="0"/>
    <n v="21"/>
    <n v="3"/>
    <x v="2"/>
    <n v="20"/>
    <n v="8"/>
    <n v="2"/>
    <n v="10"/>
    <x v="0"/>
    <x v="2"/>
  </r>
  <r>
    <n v="55"/>
    <x v="1"/>
    <x v="0"/>
    <n v="282"/>
    <x v="1"/>
    <n v="2"/>
    <n v="2"/>
    <s v="Medical"/>
    <n v="1"/>
    <n v="1336"/>
    <n v="4"/>
    <s v="Female"/>
    <n v="58"/>
    <n v="1"/>
    <n v="5"/>
    <x v="5"/>
    <n v="3"/>
    <x v="1"/>
    <n v="19187"/>
    <n v="6992"/>
    <n v="4"/>
    <s v="Y"/>
    <x v="1"/>
    <n v="14"/>
    <n v="3"/>
    <n v="4"/>
    <n v="80"/>
    <n v="1"/>
    <n v="23"/>
    <n v="5"/>
    <x v="1"/>
    <n v="19"/>
    <n v="9"/>
    <n v="9"/>
    <n v="11"/>
    <x v="2"/>
    <x v="1"/>
  </r>
  <r>
    <n v="56"/>
    <x v="1"/>
    <x v="0"/>
    <n v="206"/>
    <x v="2"/>
    <n v="8"/>
    <n v="4"/>
    <s v="Life Sciences"/>
    <n v="1"/>
    <n v="1338"/>
    <n v="4"/>
    <s v="Male"/>
    <n v="99"/>
    <n v="3"/>
    <n v="5"/>
    <x v="5"/>
    <n v="2"/>
    <x v="0"/>
    <n v="19717"/>
    <n v="4022"/>
    <n v="6"/>
    <s v="Y"/>
    <x v="1"/>
    <n v="14"/>
    <n v="3"/>
    <n v="1"/>
    <n v="80"/>
    <n v="0"/>
    <n v="36"/>
    <n v="4"/>
    <x v="1"/>
    <n v="7"/>
    <n v="3"/>
    <n v="7"/>
    <n v="7"/>
    <x v="2"/>
    <x v="1"/>
  </r>
  <r>
    <n v="40"/>
    <x v="1"/>
    <x v="2"/>
    <n v="458"/>
    <x v="1"/>
    <n v="16"/>
    <n v="2"/>
    <s v="Life Sciences"/>
    <n v="1"/>
    <n v="1340"/>
    <n v="3"/>
    <s v="Male"/>
    <n v="74"/>
    <n v="3"/>
    <n v="1"/>
    <x v="1"/>
    <n v="3"/>
    <x v="2"/>
    <n v="3544"/>
    <n v="8532"/>
    <n v="9"/>
    <s v="Y"/>
    <x v="1"/>
    <n v="16"/>
    <n v="3"/>
    <n v="2"/>
    <n v="80"/>
    <n v="1"/>
    <n v="6"/>
    <n v="0"/>
    <x v="1"/>
    <n v="4"/>
    <n v="2"/>
    <n v="0"/>
    <n v="0"/>
    <x v="0"/>
    <x v="1"/>
  </r>
  <r>
    <n v="34"/>
    <x v="1"/>
    <x v="0"/>
    <n v="943"/>
    <x v="1"/>
    <n v="9"/>
    <n v="3"/>
    <s v="Life Sciences"/>
    <n v="1"/>
    <n v="1344"/>
    <n v="4"/>
    <s v="Male"/>
    <n v="86"/>
    <n v="3"/>
    <n v="3"/>
    <x v="4"/>
    <n v="4"/>
    <x v="2"/>
    <n v="8500"/>
    <n v="5494"/>
    <n v="0"/>
    <s v="Y"/>
    <x v="1"/>
    <n v="11"/>
    <n v="3"/>
    <n v="4"/>
    <n v="80"/>
    <n v="1"/>
    <n v="10"/>
    <n v="0"/>
    <x v="2"/>
    <n v="9"/>
    <n v="7"/>
    <n v="1"/>
    <n v="6"/>
    <x v="0"/>
    <x v="2"/>
  </r>
  <r>
    <n v="40"/>
    <x v="1"/>
    <x v="0"/>
    <n v="523"/>
    <x v="1"/>
    <n v="2"/>
    <n v="3"/>
    <s v="Life Sciences"/>
    <n v="1"/>
    <n v="1346"/>
    <n v="3"/>
    <s v="Male"/>
    <n v="98"/>
    <n v="3"/>
    <n v="2"/>
    <x v="1"/>
    <n v="4"/>
    <x v="0"/>
    <n v="4661"/>
    <n v="22455"/>
    <n v="1"/>
    <s v="Y"/>
    <x v="1"/>
    <n v="13"/>
    <n v="3"/>
    <n v="3"/>
    <n v="80"/>
    <n v="0"/>
    <n v="9"/>
    <n v="4"/>
    <x v="1"/>
    <n v="9"/>
    <n v="8"/>
    <n v="8"/>
    <n v="8"/>
    <x v="0"/>
    <x v="1"/>
  </r>
  <r>
    <n v="41"/>
    <x v="1"/>
    <x v="1"/>
    <n v="1018"/>
    <x v="0"/>
    <n v="1"/>
    <n v="3"/>
    <s v="Marketing"/>
    <n v="1"/>
    <n v="1349"/>
    <n v="3"/>
    <s v="Female"/>
    <n v="66"/>
    <n v="3"/>
    <n v="2"/>
    <x v="0"/>
    <n v="1"/>
    <x v="2"/>
    <n v="4103"/>
    <n v="4297"/>
    <n v="0"/>
    <s v="Y"/>
    <x v="1"/>
    <n v="17"/>
    <n v="3"/>
    <n v="4"/>
    <n v="80"/>
    <n v="1"/>
    <n v="10"/>
    <n v="2"/>
    <x v="1"/>
    <n v="9"/>
    <n v="3"/>
    <n v="1"/>
    <n v="7"/>
    <x v="0"/>
    <x v="1"/>
  </r>
  <r>
    <n v="35"/>
    <x v="1"/>
    <x v="1"/>
    <n v="482"/>
    <x v="1"/>
    <n v="4"/>
    <n v="4"/>
    <s v="Life Sciences"/>
    <n v="1"/>
    <n v="1350"/>
    <n v="3"/>
    <s v="Male"/>
    <n v="87"/>
    <n v="3"/>
    <n v="2"/>
    <x v="1"/>
    <n v="3"/>
    <x v="0"/>
    <n v="4249"/>
    <n v="2690"/>
    <n v="1"/>
    <s v="Y"/>
    <x v="0"/>
    <n v="11"/>
    <n v="3"/>
    <n v="2"/>
    <n v="80"/>
    <n v="0"/>
    <n v="9"/>
    <n v="3"/>
    <x v="1"/>
    <n v="9"/>
    <n v="6"/>
    <n v="1"/>
    <n v="1"/>
    <x v="0"/>
    <x v="1"/>
  </r>
  <r>
    <n v="51"/>
    <x v="1"/>
    <x v="0"/>
    <n v="770"/>
    <x v="2"/>
    <n v="5"/>
    <n v="3"/>
    <s v="Life Sciences"/>
    <n v="1"/>
    <n v="1352"/>
    <n v="3"/>
    <s v="Male"/>
    <n v="84"/>
    <n v="3"/>
    <n v="4"/>
    <x v="5"/>
    <n v="2"/>
    <x v="2"/>
    <n v="14026"/>
    <n v="17588"/>
    <n v="1"/>
    <s v="Y"/>
    <x v="0"/>
    <n v="11"/>
    <n v="3"/>
    <n v="2"/>
    <n v="80"/>
    <n v="1"/>
    <n v="33"/>
    <n v="2"/>
    <x v="1"/>
    <n v="33"/>
    <n v="9"/>
    <n v="0"/>
    <n v="10"/>
    <x v="2"/>
    <x v="1"/>
  </r>
  <r>
    <n v="38"/>
    <x v="1"/>
    <x v="0"/>
    <n v="1009"/>
    <x v="0"/>
    <n v="2"/>
    <n v="2"/>
    <s v="Life Sciences"/>
    <n v="1"/>
    <n v="1355"/>
    <n v="2"/>
    <s v="Female"/>
    <n v="31"/>
    <n v="3"/>
    <n v="2"/>
    <x v="0"/>
    <n v="1"/>
    <x v="2"/>
    <n v="6893"/>
    <n v="19461"/>
    <n v="3"/>
    <s v="Y"/>
    <x v="1"/>
    <n v="15"/>
    <n v="3"/>
    <n v="4"/>
    <n v="80"/>
    <n v="1"/>
    <n v="11"/>
    <n v="3"/>
    <x v="1"/>
    <n v="7"/>
    <n v="7"/>
    <n v="1"/>
    <n v="7"/>
    <x v="0"/>
    <x v="1"/>
  </r>
  <r>
    <n v="34"/>
    <x v="1"/>
    <x v="0"/>
    <n v="507"/>
    <x v="0"/>
    <n v="15"/>
    <n v="2"/>
    <s v="Medical"/>
    <n v="1"/>
    <n v="1356"/>
    <n v="3"/>
    <s v="Female"/>
    <n v="66"/>
    <n v="3"/>
    <n v="2"/>
    <x v="0"/>
    <n v="1"/>
    <x v="0"/>
    <n v="6125"/>
    <n v="23553"/>
    <n v="1"/>
    <s v="Y"/>
    <x v="1"/>
    <n v="12"/>
    <n v="3"/>
    <n v="4"/>
    <n v="80"/>
    <n v="0"/>
    <n v="10"/>
    <n v="6"/>
    <x v="3"/>
    <n v="10"/>
    <n v="8"/>
    <n v="9"/>
    <n v="6"/>
    <x v="0"/>
    <x v="3"/>
  </r>
  <r>
    <n v="25"/>
    <x v="1"/>
    <x v="0"/>
    <n v="882"/>
    <x v="1"/>
    <n v="19"/>
    <n v="1"/>
    <s v="Medical"/>
    <n v="1"/>
    <n v="1358"/>
    <n v="4"/>
    <s v="Male"/>
    <n v="67"/>
    <n v="3"/>
    <n v="1"/>
    <x v="2"/>
    <n v="4"/>
    <x v="1"/>
    <n v="3669"/>
    <n v="9075"/>
    <n v="3"/>
    <s v="Y"/>
    <x v="1"/>
    <n v="11"/>
    <n v="3"/>
    <n v="3"/>
    <n v="80"/>
    <n v="3"/>
    <n v="7"/>
    <n v="6"/>
    <x v="2"/>
    <n v="3"/>
    <n v="2"/>
    <n v="1"/>
    <n v="2"/>
    <x v="1"/>
    <x v="2"/>
  </r>
  <r>
    <n v="58"/>
    <x v="0"/>
    <x v="0"/>
    <n v="601"/>
    <x v="1"/>
    <n v="7"/>
    <n v="4"/>
    <s v="Medical"/>
    <n v="1"/>
    <n v="1360"/>
    <n v="3"/>
    <s v="Female"/>
    <n v="53"/>
    <n v="2"/>
    <n v="3"/>
    <x v="3"/>
    <n v="1"/>
    <x v="1"/>
    <n v="10008"/>
    <n v="12023"/>
    <n v="7"/>
    <s v="Y"/>
    <x v="0"/>
    <n v="14"/>
    <n v="3"/>
    <n v="4"/>
    <n v="80"/>
    <n v="0"/>
    <n v="31"/>
    <n v="0"/>
    <x v="2"/>
    <n v="10"/>
    <n v="9"/>
    <n v="5"/>
    <n v="9"/>
    <x v="2"/>
    <x v="2"/>
  </r>
  <r>
    <n v="40"/>
    <x v="1"/>
    <x v="0"/>
    <n v="329"/>
    <x v="1"/>
    <n v="1"/>
    <n v="4"/>
    <s v="Life Sciences"/>
    <n v="1"/>
    <n v="1361"/>
    <n v="2"/>
    <s v="Male"/>
    <n v="88"/>
    <n v="3"/>
    <n v="1"/>
    <x v="2"/>
    <n v="2"/>
    <x v="1"/>
    <n v="2387"/>
    <n v="6762"/>
    <n v="3"/>
    <s v="Y"/>
    <x v="1"/>
    <n v="22"/>
    <n v="4"/>
    <n v="3"/>
    <n v="80"/>
    <n v="1"/>
    <n v="7"/>
    <n v="3"/>
    <x v="1"/>
    <n v="4"/>
    <n v="2"/>
    <n v="0"/>
    <n v="3"/>
    <x v="0"/>
    <x v="1"/>
  </r>
  <r>
    <n v="36"/>
    <x v="1"/>
    <x v="1"/>
    <n v="607"/>
    <x v="0"/>
    <n v="7"/>
    <n v="3"/>
    <s v="Marketing"/>
    <n v="1"/>
    <n v="1362"/>
    <n v="1"/>
    <s v="Female"/>
    <n v="83"/>
    <n v="4"/>
    <n v="2"/>
    <x v="0"/>
    <n v="1"/>
    <x v="1"/>
    <n v="4639"/>
    <n v="2261"/>
    <n v="2"/>
    <s v="Y"/>
    <x v="1"/>
    <n v="16"/>
    <n v="3"/>
    <n v="4"/>
    <n v="80"/>
    <n v="1"/>
    <n v="17"/>
    <n v="2"/>
    <x v="2"/>
    <n v="15"/>
    <n v="7"/>
    <n v="6"/>
    <n v="13"/>
    <x v="0"/>
    <x v="2"/>
  </r>
  <r>
    <n v="48"/>
    <x v="1"/>
    <x v="0"/>
    <n v="855"/>
    <x v="1"/>
    <n v="4"/>
    <n v="3"/>
    <s v="Life Sciences"/>
    <n v="1"/>
    <n v="1363"/>
    <n v="4"/>
    <s v="Male"/>
    <n v="54"/>
    <n v="3"/>
    <n v="3"/>
    <x v="3"/>
    <n v="4"/>
    <x v="0"/>
    <n v="7898"/>
    <n v="18706"/>
    <n v="1"/>
    <s v="Y"/>
    <x v="1"/>
    <n v="11"/>
    <n v="3"/>
    <n v="3"/>
    <n v="80"/>
    <n v="0"/>
    <n v="11"/>
    <n v="2"/>
    <x v="1"/>
    <n v="10"/>
    <n v="9"/>
    <n v="0"/>
    <n v="8"/>
    <x v="0"/>
    <x v="1"/>
  </r>
  <r>
    <n v="27"/>
    <x v="1"/>
    <x v="0"/>
    <n v="1291"/>
    <x v="0"/>
    <n v="11"/>
    <n v="3"/>
    <s v="Medical"/>
    <n v="1"/>
    <n v="1364"/>
    <n v="3"/>
    <s v="Female"/>
    <n v="98"/>
    <n v="4"/>
    <n v="1"/>
    <x v="6"/>
    <n v="4"/>
    <x v="1"/>
    <n v="2534"/>
    <n v="6527"/>
    <n v="8"/>
    <s v="Y"/>
    <x v="1"/>
    <n v="14"/>
    <n v="3"/>
    <n v="2"/>
    <n v="80"/>
    <n v="1"/>
    <n v="5"/>
    <n v="4"/>
    <x v="1"/>
    <n v="1"/>
    <n v="0"/>
    <n v="0"/>
    <n v="0"/>
    <x v="1"/>
    <x v="1"/>
  </r>
  <r>
    <n v="51"/>
    <x v="1"/>
    <x v="0"/>
    <n v="1405"/>
    <x v="1"/>
    <n v="11"/>
    <n v="2"/>
    <s v="Technical Degree"/>
    <n v="1"/>
    <n v="1367"/>
    <n v="4"/>
    <s v="Female"/>
    <n v="82"/>
    <n v="2"/>
    <n v="4"/>
    <x v="3"/>
    <n v="2"/>
    <x v="0"/>
    <n v="13142"/>
    <n v="24439"/>
    <n v="3"/>
    <s v="Y"/>
    <x v="1"/>
    <n v="16"/>
    <n v="3"/>
    <n v="2"/>
    <n v="80"/>
    <n v="0"/>
    <n v="29"/>
    <n v="1"/>
    <x v="2"/>
    <n v="5"/>
    <n v="2"/>
    <n v="0"/>
    <n v="3"/>
    <x v="2"/>
    <x v="2"/>
  </r>
  <r>
    <n v="18"/>
    <x v="1"/>
    <x v="2"/>
    <n v="1124"/>
    <x v="1"/>
    <n v="1"/>
    <n v="3"/>
    <s v="Life Sciences"/>
    <n v="1"/>
    <n v="1368"/>
    <n v="4"/>
    <s v="Female"/>
    <n v="97"/>
    <n v="3"/>
    <n v="1"/>
    <x v="2"/>
    <n v="4"/>
    <x v="0"/>
    <n v="1611"/>
    <n v="19305"/>
    <n v="1"/>
    <s v="Y"/>
    <x v="1"/>
    <n v="15"/>
    <n v="3"/>
    <n v="3"/>
    <n v="80"/>
    <n v="0"/>
    <n v="0"/>
    <n v="5"/>
    <x v="3"/>
    <n v="0"/>
    <n v="0"/>
    <n v="0"/>
    <n v="0"/>
    <x v="1"/>
    <x v="3"/>
  </r>
  <r>
    <n v="35"/>
    <x v="1"/>
    <x v="0"/>
    <n v="817"/>
    <x v="1"/>
    <n v="1"/>
    <n v="3"/>
    <s v="Medical"/>
    <n v="1"/>
    <n v="1369"/>
    <n v="4"/>
    <s v="Female"/>
    <n v="60"/>
    <n v="2"/>
    <n v="2"/>
    <x v="2"/>
    <n v="4"/>
    <x v="1"/>
    <n v="5363"/>
    <n v="10846"/>
    <n v="0"/>
    <s v="Y"/>
    <x v="1"/>
    <n v="12"/>
    <n v="3"/>
    <n v="2"/>
    <n v="80"/>
    <n v="1"/>
    <n v="10"/>
    <n v="0"/>
    <x v="1"/>
    <n v="9"/>
    <n v="7"/>
    <n v="0"/>
    <n v="0"/>
    <x v="0"/>
    <x v="1"/>
  </r>
  <r>
    <n v="27"/>
    <x v="1"/>
    <x v="1"/>
    <n v="793"/>
    <x v="0"/>
    <n v="2"/>
    <n v="1"/>
    <s v="Life Sciences"/>
    <n v="1"/>
    <n v="1371"/>
    <n v="4"/>
    <s v="Male"/>
    <n v="43"/>
    <n v="1"/>
    <n v="2"/>
    <x v="0"/>
    <n v="4"/>
    <x v="0"/>
    <n v="5071"/>
    <n v="20392"/>
    <n v="3"/>
    <s v="Y"/>
    <x v="1"/>
    <n v="20"/>
    <n v="4"/>
    <n v="2"/>
    <n v="80"/>
    <n v="0"/>
    <n v="8"/>
    <n v="3"/>
    <x v="1"/>
    <n v="6"/>
    <n v="2"/>
    <n v="0"/>
    <n v="0"/>
    <x v="1"/>
    <x v="1"/>
  </r>
  <r>
    <n v="55"/>
    <x v="0"/>
    <x v="0"/>
    <n v="267"/>
    <x v="0"/>
    <n v="13"/>
    <n v="4"/>
    <s v="Marketing"/>
    <n v="1"/>
    <n v="1372"/>
    <n v="1"/>
    <s v="Male"/>
    <n v="85"/>
    <n v="4"/>
    <n v="4"/>
    <x v="0"/>
    <n v="3"/>
    <x v="0"/>
    <n v="13695"/>
    <n v="9277"/>
    <n v="6"/>
    <s v="Y"/>
    <x v="0"/>
    <n v="17"/>
    <n v="3"/>
    <n v="3"/>
    <n v="80"/>
    <n v="0"/>
    <n v="24"/>
    <n v="2"/>
    <x v="2"/>
    <n v="19"/>
    <n v="7"/>
    <n v="3"/>
    <n v="8"/>
    <x v="2"/>
    <x v="2"/>
  </r>
  <r>
    <n v="56"/>
    <x v="1"/>
    <x v="0"/>
    <n v="1369"/>
    <x v="1"/>
    <n v="23"/>
    <n v="3"/>
    <s v="Life Sciences"/>
    <n v="1"/>
    <n v="1373"/>
    <n v="4"/>
    <s v="Male"/>
    <n v="68"/>
    <n v="3"/>
    <n v="4"/>
    <x v="3"/>
    <n v="2"/>
    <x v="1"/>
    <n v="13402"/>
    <n v="18235"/>
    <n v="4"/>
    <s v="Y"/>
    <x v="0"/>
    <n v="12"/>
    <n v="3"/>
    <n v="1"/>
    <n v="80"/>
    <n v="1"/>
    <n v="33"/>
    <n v="0"/>
    <x v="1"/>
    <n v="19"/>
    <n v="16"/>
    <n v="15"/>
    <n v="9"/>
    <x v="2"/>
    <x v="1"/>
  </r>
  <r>
    <n v="34"/>
    <x v="1"/>
    <x v="2"/>
    <n v="999"/>
    <x v="1"/>
    <n v="26"/>
    <n v="1"/>
    <s v="Technical Degree"/>
    <n v="1"/>
    <n v="1374"/>
    <n v="1"/>
    <s v="Female"/>
    <n v="92"/>
    <n v="2"/>
    <n v="1"/>
    <x v="1"/>
    <n v="3"/>
    <x v="2"/>
    <n v="2029"/>
    <n v="15891"/>
    <n v="1"/>
    <s v="Y"/>
    <x v="1"/>
    <n v="20"/>
    <n v="4"/>
    <n v="3"/>
    <n v="80"/>
    <n v="3"/>
    <n v="5"/>
    <n v="2"/>
    <x v="1"/>
    <n v="5"/>
    <n v="4"/>
    <n v="0"/>
    <n v="0"/>
    <x v="0"/>
    <x v="1"/>
  </r>
  <r>
    <n v="40"/>
    <x v="1"/>
    <x v="0"/>
    <n v="1202"/>
    <x v="1"/>
    <n v="2"/>
    <n v="1"/>
    <s v="Medical"/>
    <n v="1"/>
    <n v="1375"/>
    <n v="2"/>
    <s v="Female"/>
    <n v="89"/>
    <n v="4"/>
    <n v="2"/>
    <x v="4"/>
    <n v="3"/>
    <x v="2"/>
    <n v="6377"/>
    <n v="13888"/>
    <n v="5"/>
    <s v="Y"/>
    <x v="1"/>
    <n v="20"/>
    <n v="4"/>
    <n v="2"/>
    <n v="80"/>
    <n v="3"/>
    <n v="15"/>
    <n v="0"/>
    <x v="1"/>
    <n v="12"/>
    <n v="11"/>
    <n v="11"/>
    <n v="8"/>
    <x v="0"/>
    <x v="1"/>
  </r>
  <r>
    <n v="34"/>
    <x v="1"/>
    <x v="0"/>
    <n v="285"/>
    <x v="1"/>
    <n v="29"/>
    <n v="3"/>
    <s v="Medical"/>
    <n v="1"/>
    <n v="1377"/>
    <n v="2"/>
    <s v="Male"/>
    <n v="86"/>
    <n v="3"/>
    <n v="2"/>
    <x v="2"/>
    <n v="3"/>
    <x v="1"/>
    <n v="5429"/>
    <n v="17491"/>
    <n v="4"/>
    <s v="Y"/>
    <x v="1"/>
    <n v="13"/>
    <n v="3"/>
    <n v="1"/>
    <n v="80"/>
    <n v="2"/>
    <n v="10"/>
    <n v="1"/>
    <x v="1"/>
    <n v="8"/>
    <n v="7"/>
    <n v="7"/>
    <n v="7"/>
    <x v="0"/>
    <x v="1"/>
  </r>
  <r>
    <n v="31"/>
    <x v="0"/>
    <x v="1"/>
    <n v="703"/>
    <x v="0"/>
    <n v="2"/>
    <n v="3"/>
    <s v="Life Sciences"/>
    <n v="1"/>
    <n v="1379"/>
    <n v="3"/>
    <s v="Female"/>
    <n v="90"/>
    <n v="2"/>
    <n v="1"/>
    <x v="6"/>
    <n v="4"/>
    <x v="0"/>
    <n v="2785"/>
    <n v="11882"/>
    <n v="7"/>
    <s v="Y"/>
    <x v="1"/>
    <n v="14"/>
    <n v="3"/>
    <n v="3"/>
    <n v="80"/>
    <n v="0"/>
    <n v="3"/>
    <n v="3"/>
    <x v="3"/>
    <n v="1"/>
    <n v="0"/>
    <n v="0"/>
    <n v="0"/>
    <x v="0"/>
    <x v="3"/>
  </r>
  <r>
    <n v="35"/>
    <x v="0"/>
    <x v="1"/>
    <n v="662"/>
    <x v="0"/>
    <n v="18"/>
    <n v="4"/>
    <s v="Marketing"/>
    <n v="1"/>
    <n v="1380"/>
    <n v="4"/>
    <s v="Female"/>
    <n v="67"/>
    <n v="3"/>
    <n v="2"/>
    <x v="0"/>
    <n v="3"/>
    <x v="1"/>
    <n v="4614"/>
    <n v="23288"/>
    <n v="0"/>
    <s v="Y"/>
    <x v="0"/>
    <n v="18"/>
    <n v="3"/>
    <n v="3"/>
    <n v="80"/>
    <n v="1"/>
    <n v="5"/>
    <n v="0"/>
    <x v="2"/>
    <n v="4"/>
    <n v="2"/>
    <n v="3"/>
    <n v="2"/>
    <x v="0"/>
    <x v="2"/>
  </r>
  <r>
    <n v="38"/>
    <x v="1"/>
    <x v="1"/>
    <n v="693"/>
    <x v="1"/>
    <n v="7"/>
    <n v="3"/>
    <s v="Life Sciences"/>
    <n v="1"/>
    <n v="1382"/>
    <n v="4"/>
    <s v="Male"/>
    <n v="57"/>
    <n v="4"/>
    <n v="1"/>
    <x v="1"/>
    <n v="3"/>
    <x v="2"/>
    <n v="2610"/>
    <n v="15748"/>
    <n v="1"/>
    <s v="Y"/>
    <x v="1"/>
    <n v="11"/>
    <n v="3"/>
    <n v="4"/>
    <n v="80"/>
    <n v="3"/>
    <n v="4"/>
    <n v="2"/>
    <x v="1"/>
    <n v="4"/>
    <n v="2"/>
    <n v="0"/>
    <n v="3"/>
    <x v="0"/>
    <x v="1"/>
  </r>
  <r>
    <n v="34"/>
    <x v="1"/>
    <x v="0"/>
    <n v="404"/>
    <x v="1"/>
    <n v="2"/>
    <n v="4"/>
    <s v="Technical Degree"/>
    <n v="1"/>
    <n v="1383"/>
    <n v="3"/>
    <s v="Female"/>
    <n v="98"/>
    <n v="3"/>
    <n v="2"/>
    <x v="4"/>
    <n v="4"/>
    <x v="0"/>
    <n v="6687"/>
    <n v="6163"/>
    <n v="1"/>
    <s v="Y"/>
    <x v="1"/>
    <n v="11"/>
    <n v="3"/>
    <n v="4"/>
    <n v="80"/>
    <n v="0"/>
    <n v="14"/>
    <n v="2"/>
    <x v="3"/>
    <n v="14"/>
    <n v="11"/>
    <n v="4"/>
    <n v="11"/>
    <x v="0"/>
    <x v="3"/>
  </r>
  <r>
    <n v="28"/>
    <x v="1"/>
    <x v="0"/>
    <n v="736"/>
    <x v="0"/>
    <n v="26"/>
    <n v="3"/>
    <s v="Life Sciences"/>
    <n v="1"/>
    <n v="1387"/>
    <n v="3"/>
    <s v="Male"/>
    <n v="48"/>
    <n v="2"/>
    <n v="2"/>
    <x v="0"/>
    <n v="1"/>
    <x v="1"/>
    <n v="4724"/>
    <n v="24232"/>
    <n v="1"/>
    <s v="Y"/>
    <x v="1"/>
    <n v="11"/>
    <n v="3"/>
    <n v="3"/>
    <n v="80"/>
    <n v="1"/>
    <n v="5"/>
    <n v="0"/>
    <x v="1"/>
    <n v="5"/>
    <n v="3"/>
    <n v="0"/>
    <n v="4"/>
    <x v="1"/>
    <x v="1"/>
  </r>
  <r>
    <n v="31"/>
    <x v="0"/>
    <x v="0"/>
    <n v="330"/>
    <x v="1"/>
    <n v="22"/>
    <n v="4"/>
    <s v="Medical"/>
    <n v="1"/>
    <n v="1389"/>
    <n v="4"/>
    <s v="Male"/>
    <n v="98"/>
    <n v="3"/>
    <n v="2"/>
    <x v="3"/>
    <n v="3"/>
    <x v="1"/>
    <n v="6179"/>
    <n v="21057"/>
    <n v="1"/>
    <s v="Y"/>
    <x v="0"/>
    <n v="15"/>
    <n v="3"/>
    <n v="4"/>
    <n v="80"/>
    <n v="2"/>
    <n v="10"/>
    <n v="3"/>
    <x v="2"/>
    <n v="10"/>
    <n v="2"/>
    <n v="6"/>
    <n v="7"/>
    <x v="0"/>
    <x v="2"/>
  </r>
  <r>
    <n v="39"/>
    <x v="1"/>
    <x v="0"/>
    <n v="1498"/>
    <x v="0"/>
    <n v="21"/>
    <n v="4"/>
    <s v="Life Sciences"/>
    <n v="1"/>
    <n v="1390"/>
    <n v="1"/>
    <s v="Male"/>
    <n v="44"/>
    <n v="2"/>
    <n v="2"/>
    <x v="0"/>
    <n v="4"/>
    <x v="1"/>
    <n v="6120"/>
    <n v="3567"/>
    <n v="3"/>
    <s v="Y"/>
    <x v="0"/>
    <n v="12"/>
    <n v="3"/>
    <n v="4"/>
    <n v="80"/>
    <n v="2"/>
    <n v="8"/>
    <n v="2"/>
    <x v="3"/>
    <n v="5"/>
    <n v="4"/>
    <n v="1"/>
    <n v="4"/>
    <x v="0"/>
    <x v="3"/>
  </r>
  <r>
    <n v="51"/>
    <x v="1"/>
    <x v="1"/>
    <n v="541"/>
    <x v="0"/>
    <n v="2"/>
    <n v="3"/>
    <s v="Marketing"/>
    <n v="1"/>
    <n v="1391"/>
    <n v="2"/>
    <s v="Male"/>
    <n v="52"/>
    <n v="3"/>
    <n v="3"/>
    <x v="0"/>
    <n v="2"/>
    <x v="1"/>
    <n v="10596"/>
    <n v="15395"/>
    <n v="2"/>
    <s v="Y"/>
    <x v="1"/>
    <n v="11"/>
    <n v="3"/>
    <n v="2"/>
    <n v="80"/>
    <n v="0"/>
    <n v="14"/>
    <n v="5"/>
    <x v="1"/>
    <n v="4"/>
    <n v="2"/>
    <n v="3"/>
    <n v="2"/>
    <x v="2"/>
    <x v="1"/>
  </r>
  <r>
    <n v="41"/>
    <x v="1"/>
    <x v="1"/>
    <n v="1200"/>
    <x v="1"/>
    <n v="22"/>
    <n v="3"/>
    <s v="Life Sciences"/>
    <n v="1"/>
    <n v="1392"/>
    <n v="4"/>
    <s v="Female"/>
    <n v="75"/>
    <n v="3"/>
    <n v="2"/>
    <x v="1"/>
    <n v="4"/>
    <x v="2"/>
    <n v="5467"/>
    <n v="13953"/>
    <n v="3"/>
    <s v="Y"/>
    <x v="0"/>
    <n v="14"/>
    <n v="3"/>
    <n v="1"/>
    <n v="80"/>
    <n v="2"/>
    <n v="12"/>
    <n v="4"/>
    <x v="2"/>
    <n v="6"/>
    <n v="2"/>
    <n v="3"/>
    <n v="3"/>
    <x v="0"/>
    <x v="2"/>
  </r>
  <r>
    <n v="37"/>
    <x v="1"/>
    <x v="0"/>
    <n v="1439"/>
    <x v="1"/>
    <n v="4"/>
    <n v="1"/>
    <s v="Life Sciences"/>
    <n v="1"/>
    <n v="1394"/>
    <n v="3"/>
    <s v="Male"/>
    <n v="54"/>
    <n v="3"/>
    <n v="1"/>
    <x v="1"/>
    <n v="3"/>
    <x v="1"/>
    <n v="2996"/>
    <n v="5182"/>
    <n v="7"/>
    <s v="Y"/>
    <x v="0"/>
    <n v="15"/>
    <n v="3"/>
    <n v="4"/>
    <n v="80"/>
    <n v="0"/>
    <n v="8"/>
    <n v="2"/>
    <x v="1"/>
    <n v="6"/>
    <n v="4"/>
    <n v="1"/>
    <n v="3"/>
    <x v="0"/>
    <x v="1"/>
  </r>
  <r>
    <n v="33"/>
    <x v="1"/>
    <x v="1"/>
    <n v="1111"/>
    <x v="0"/>
    <n v="5"/>
    <n v="1"/>
    <s v="Life Sciences"/>
    <n v="1"/>
    <n v="1395"/>
    <n v="2"/>
    <s v="Male"/>
    <n v="61"/>
    <n v="3"/>
    <n v="2"/>
    <x v="0"/>
    <n v="4"/>
    <x v="1"/>
    <n v="9998"/>
    <n v="19293"/>
    <n v="6"/>
    <s v="Y"/>
    <x v="1"/>
    <n v="13"/>
    <n v="3"/>
    <n v="1"/>
    <n v="80"/>
    <n v="0"/>
    <n v="8"/>
    <n v="2"/>
    <x v="3"/>
    <n v="5"/>
    <n v="4"/>
    <n v="1"/>
    <n v="2"/>
    <x v="0"/>
    <x v="3"/>
  </r>
  <r>
    <n v="32"/>
    <x v="1"/>
    <x v="0"/>
    <n v="499"/>
    <x v="0"/>
    <n v="2"/>
    <n v="1"/>
    <s v="Marketing"/>
    <n v="1"/>
    <n v="1396"/>
    <n v="3"/>
    <s v="Male"/>
    <n v="36"/>
    <n v="3"/>
    <n v="2"/>
    <x v="0"/>
    <n v="2"/>
    <x v="1"/>
    <n v="4078"/>
    <n v="20497"/>
    <n v="0"/>
    <s v="Y"/>
    <x v="0"/>
    <n v="13"/>
    <n v="3"/>
    <n v="1"/>
    <n v="80"/>
    <n v="3"/>
    <n v="4"/>
    <n v="3"/>
    <x v="2"/>
    <n v="3"/>
    <n v="2"/>
    <n v="1"/>
    <n v="2"/>
    <x v="0"/>
    <x v="2"/>
  </r>
  <r>
    <n v="39"/>
    <x v="1"/>
    <x v="2"/>
    <n v="1485"/>
    <x v="1"/>
    <n v="25"/>
    <n v="2"/>
    <s v="Life Sciences"/>
    <n v="1"/>
    <n v="1397"/>
    <n v="3"/>
    <s v="Male"/>
    <n v="71"/>
    <n v="3"/>
    <n v="3"/>
    <x v="4"/>
    <n v="3"/>
    <x v="1"/>
    <n v="10920"/>
    <n v="3449"/>
    <n v="3"/>
    <s v="Y"/>
    <x v="1"/>
    <n v="21"/>
    <n v="4"/>
    <n v="2"/>
    <n v="80"/>
    <n v="1"/>
    <n v="13"/>
    <n v="2"/>
    <x v="1"/>
    <n v="6"/>
    <n v="4"/>
    <n v="0"/>
    <n v="5"/>
    <x v="0"/>
    <x v="1"/>
  </r>
  <r>
    <n v="25"/>
    <x v="1"/>
    <x v="0"/>
    <n v="1372"/>
    <x v="0"/>
    <n v="18"/>
    <n v="1"/>
    <s v="Life Sciences"/>
    <n v="1"/>
    <n v="1399"/>
    <n v="1"/>
    <s v="Male"/>
    <n v="93"/>
    <n v="4"/>
    <n v="2"/>
    <x v="0"/>
    <n v="3"/>
    <x v="1"/>
    <n v="6232"/>
    <n v="12477"/>
    <n v="2"/>
    <s v="Y"/>
    <x v="1"/>
    <n v="11"/>
    <n v="3"/>
    <n v="2"/>
    <n v="80"/>
    <n v="0"/>
    <n v="6"/>
    <n v="3"/>
    <x v="2"/>
    <n v="3"/>
    <n v="2"/>
    <n v="1"/>
    <n v="2"/>
    <x v="1"/>
    <x v="2"/>
  </r>
  <r>
    <n v="52"/>
    <x v="1"/>
    <x v="1"/>
    <n v="322"/>
    <x v="1"/>
    <n v="28"/>
    <n v="2"/>
    <s v="Medical"/>
    <n v="1"/>
    <n v="1401"/>
    <n v="4"/>
    <s v="Female"/>
    <n v="59"/>
    <n v="4"/>
    <n v="4"/>
    <x v="3"/>
    <n v="3"/>
    <x v="1"/>
    <n v="13247"/>
    <n v="9731"/>
    <n v="2"/>
    <s v="Y"/>
    <x v="0"/>
    <n v="11"/>
    <n v="3"/>
    <n v="2"/>
    <n v="80"/>
    <n v="1"/>
    <n v="24"/>
    <n v="3"/>
    <x v="2"/>
    <n v="5"/>
    <n v="3"/>
    <n v="0"/>
    <n v="2"/>
    <x v="2"/>
    <x v="2"/>
  </r>
  <r>
    <n v="43"/>
    <x v="1"/>
    <x v="0"/>
    <n v="930"/>
    <x v="1"/>
    <n v="6"/>
    <n v="3"/>
    <s v="Medical"/>
    <n v="1"/>
    <n v="1402"/>
    <n v="1"/>
    <s v="Female"/>
    <n v="73"/>
    <n v="2"/>
    <n v="2"/>
    <x v="1"/>
    <n v="3"/>
    <x v="0"/>
    <n v="4081"/>
    <n v="20003"/>
    <n v="1"/>
    <s v="Y"/>
    <x v="0"/>
    <n v="14"/>
    <n v="3"/>
    <n v="1"/>
    <n v="80"/>
    <n v="0"/>
    <n v="20"/>
    <n v="3"/>
    <x v="0"/>
    <n v="20"/>
    <n v="7"/>
    <n v="1"/>
    <n v="8"/>
    <x v="0"/>
    <x v="0"/>
  </r>
  <r>
    <n v="27"/>
    <x v="1"/>
    <x v="0"/>
    <n v="205"/>
    <x v="0"/>
    <n v="10"/>
    <n v="3"/>
    <s v="Marketing"/>
    <n v="1"/>
    <n v="1403"/>
    <n v="4"/>
    <s v="Female"/>
    <n v="98"/>
    <n v="2"/>
    <n v="2"/>
    <x v="0"/>
    <n v="4"/>
    <x v="1"/>
    <n v="5769"/>
    <n v="7100"/>
    <n v="1"/>
    <s v="Y"/>
    <x v="0"/>
    <n v="11"/>
    <n v="3"/>
    <n v="4"/>
    <n v="80"/>
    <n v="0"/>
    <n v="6"/>
    <n v="3"/>
    <x v="1"/>
    <n v="6"/>
    <n v="2"/>
    <n v="4"/>
    <n v="4"/>
    <x v="1"/>
    <x v="1"/>
  </r>
  <r>
    <n v="27"/>
    <x v="0"/>
    <x v="0"/>
    <n v="135"/>
    <x v="1"/>
    <n v="17"/>
    <n v="4"/>
    <s v="Life Sciences"/>
    <n v="1"/>
    <n v="1405"/>
    <n v="4"/>
    <s v="Female"/>
    <n v="51"/>
    <n v="3"/>
    <n v="1"/>
    <x v="1"/>
    <n v="3"/>
    <x v="0"/>
    <n v="2394"/>
    <n v="25681"/>
    <n v="1"/>
    <s v="Y"/>
    <x v="0"/>
    <n v="13"/>
    <n v="3"/>
    <n v="4"/>
    <n v="80"/>
    <n v="0"/>
    <n v="8"/>
    <n v="2"/>
    <x v="1"/>
    <n v="8"/>
    <n v="2"/>
    <n v="7"/>
    <n v="7"/>
    <x v="1"/>
    <x v="1"/>
  </r>
  <r>
    <n v="26"/>
    <x v="1"/>
    <x v="0"/>
    <n v="683"/>
    <x v="1"/>
    <n v="2"/>
    <n v="1"/>
    <s v="Medical"/>
    <n v="1"/>
    <n v="1407"/>
    <n v="1"/>
    <s v="Male"/>
    <n v="36"/>
    <n v="2"/>
    <n v="1"/>
    <x v="1"/>
    <n v="4"/>
    <x v="0"/>
    <n v="3904"/>
    <n v="4050"/>
    <n v="0"/>
    <s v="Y"/>
    <x v="1"/>
    <n v="12"/>
    <n v="3"/>
    <n v="4"/>
    <n v="80"/>
    <n v="0"/>
    <n v="5"/>
    <n v="2"/>
    <x v="1"/>
    <n v="4"/>
    <n v="3"/>
    <n v="1"/>
    <n v="1"/>
    <x v="1"/>
    <x v="1"/>
  </r>
  <r>
    <n v="42"/>
    <x v="1"/>
    <x v="0"/>
    <n v="1147"/>
    <x v="2"/>
    <n v="10"/>
    <n v="3"/>
    <s v="Human Resources"/>
    <n v="1"/>
    <n v="1408"/>
    <n v="3"/>
    <s v="Female"/>
    <n v="31"/>
    <n v="3"/>
    <n v="4"/>
    <x v="5"/>
    <n v="1"/>
    <x v="1"/>
    <n v="16799"/>
    <n v="16616"/>
    <n v="0"/>
    <s v="Y"/>
    <x v="1"/>
    <n v="14"/>
    <n v="3"/>
    <n v="3"/>
    <n v="80"/>
    <n v="1"/>
    <n v="21"/>
    <n v="5"/>
    <x v="1"/>
    <n v="20"/>
    <n v="7"/>
    <n v="0"/>
    <n v="9"/>
    <x v="0"/>
    <x v="1"/>
  </r>
  <r>
    <n v="52"/>
    <x v="1"/>
    <x v="0"/>
    <n v="258"/>
    <x v="1"/>
    <n v="8"/>
    <n v="4"/>
    <s v="Other"/>
    <n v="1"/>
    <n v="1409"/>
    <n v="3"/>
    <s v="Female"/>
    <n v="54"/>
    <n v="3"/>
    <n v="1"/>
    <x v="2"/>
    <n v="1"/>
    <x v="1"/>
    <n v="2950"/>
    <n v="17363"/>
    <n v="9"/>
    <s v="Y"/>
    <x v="1"/>
    <n v="13"/>
    <n v="3"/>
    <n v="3"/>
    <n v="80"/>
    <n v="0"/>
    <n v="12"/>
    <n v="2"/>
    <x v="0"/>
    <n v="5"/>
    <n v="4"/>
    <n v="0"/>
    <n v="4"/>
    <x v="2"/>
    <x v="0"/>
  </r>
  <r>
    <n v="37"/>
    <x v="1"/>
    <x v="0"/>
    <n v="1462"/>
    <x v="1"/>
    <n v="11"/>
    <n v="3"/>
    <s v="Medical"/>
    <n v="1"/>
    <n v="1411"/>
    <n v="1"/>
    <s v="Female"/>
    <n v="94"/>
    <n v="3"/>
    <n v="1"/>
    <x v="2"/>
    <n v="3"/>
    <x v="0"/>
    <n v="3629"/>
    <n v="19106"/>
    <n v="4"/>
    <s v="Y"/>
    <x v="1"/>
    <n v="18"/>
    <n v="3"/>
    <n v="1"/>
    <n v="80"/>
    <n v="0"/>
    <n v="8"/>
    <n v="6"/>
    <x v="1"/>
    <n v="3"/>
    <n v="2"/>
    <n v="0"/>
    <n v="2"/>
    <x v="0"/>
    <x v="1"/>
  </r>
  <r>
    <n v="35"/>
    <x v="1"/>
    <x v="1"/>
    <n v="200"/>
    <x v="1"/>
    <n v="18"/>
    <n v="2"/>
    <s v="Life Sciences"/>
    <n v="1"/>
    <n v="1412"/>
    <n v="3"/>
    <s v="Male"/>
    <n v="60"/>
    <n v="3"/>
    <n v="3"/>
    <x v="3"/>
    <n v="4"/>
    <x v="0"/>
    <n v="9362"/>
    <n v="19944"/>
    <n v="2"/>
    <s v="Y"/>
    <x v="1"/>
    <n v="11"/>
    <n v="3"/>
    <n v="3"/>
    <n v="80"/>
    <n v="0"/>
    <n v="10"/>
    <n v="2"/>
    <x v="1"/>
    <n v="2"/>
    <n v="2"/>
    <n v="2"/>
    <n v="2"/>
    <x v="0"/>
    <x v="1"/>
  </r>
  <r>
    <n v="25"/>
    <x v="1"/>
    <x v="0"/>
    <n v="949"/>
    <x v="1"/>
    <n v="1"/>
    <n v="3"/>
    <s v="Technical Degree"/>
    <n v="1"/>
    <n v="1415"/>
    <n v="1"/>
    <s v="Male"/>
    <n v="81"/>
    <n v="3"/>
    <n v="1"/>
    <x v="2"/>
    <n v="4"/>
    <x v="1"/>
    <n v="3229"/>
    <n v="4910"/>
    <n v="4"/>
    <s v="Y"/>
    <x v="1"/>
    <n v="11"/>
    <n v="3"/>
    <n v="2"/>
    <n v="80"/>
    <n v="1"/>
    <n v="7"/>
    <n v="2"/>
    <x v="2"/>
    <n v="3"/>
    <n v="2"/>
    <n v="0"/>
    <n v="2"/>
    <x v="1"/>
    <x v="2"/>
  </r>
  <r>
    <n v="26"/>
    <x v="1"/>
    <x v="0"/>
    <n v="652"/>
    <x v="1"/>
    <n v="7"/>
    <n v="3"/>
    <s v="Other"/>
    <n v="1"/>
    <n v="1417"/>
    <n v="3"/>
    <s v="Male"/>
    <n v="100"/>
    <n v="4"/>
    <n v="1"/>
    <x v="2"/>
    <n v="1"/>
    <x v="0"/>
    <n v="3578"/>
    <n v="23577"/>
    <n v="0"/>
    <s v="Y"/>
    <x v="1"/>
    <n v="12"/>
    <n v="3"/>
    <n v="4"/>
    <n v="80"/>
    <n v="0"/>
    <n v="8"/>
    <n v="2"/>
    <x v="1"/>
    <n v="7"/>
    <n v="7"/>
    <n v="0"/>
    <n v="7"/>
    <x v="1"/>
    <x v="1"/>
  </r>
  <r>
    <n v="29"/>
    <x v="1"/>
    <x v="0"/>
    <n v="332"/>
    <x v="2"/>
    <n v="17"/>
    <n v="3"/>
    <s v="Other"/>
    <n v="1"/>
    <n v="1419"/>
    <n v="2"/>
    <s v="Male"/>
    <n v="51"/>
    <n v="2"/>
    <n v="3"/>
    <x v="8"/>
    <n v="1"/>
    <x v="0"/>
    <n v="7988"/>
    <n v="9769"/>
    <n v="1"/>
    <s v="Y"/>
    <x v="1"/>
    <n v="13"/>
    <n v="3"/>
    <n v="1"/>
    <n v="80"/>
    <n v="0"/>
    <n v="10"/>
    <n v="3"/>
    <x v="2"/>
    <n v="10"/>
    <n v="9"/>
    <n v="0"/>
    <n v="9"/>
    <x v="1"/>
    <x v="2"/>
  </r>
  <r>
    <n v="49"/>
    <x v="0"/>
    <x v="1"/>
    <n v="1475"/>
    <x v="1"/>
    <n v="28"/>
    <n v="2"/>
    <s v="Life Sciences"/>
    <n v="1"/>
    <n v="1420"/>
    <n v="1"/>
    <s v="Male"/>
    <n v="97"/>
    <n v="2"/>
    <n v="2"/>
    <x v="2"/>
    <n v="1"/>
    <x v="0"/>
    <n v="4284"/>
    <n v="22710"/>
    <n v="3"/>
    <s v="Y"/>
    <x v="1"/>
    <n v="20"/>
    <n v="4"/>
    <n v="1"/>
    <n v="80"/>
    <n v="0"/>
    <n v="20"/>
    <n v="2"/>
    <x v="1"/>
    <n v="4"/>
    <n v="3"/>
    <n v="1"/>
    <n v="3"/>
    <x v="0"/>
    <x v="1"/>
  </r>
  <r>
    <n v="29"/>
    <x v="0"/>
    <x v="1"/>
    <n v="337"/>
    <x v="1"/>
    <n v="14"/>
    <n v="1"/>
    <s v="Other"/>
    <n v="1"/>
    <n v="1421"/>
    <n v="3"/>
    <s v="Female"/>
    <n v="84"/>
    <n v="3"/>
    <n v="3"/>
    <x v="4"/>
    <n v="4"/>
    <x v="0"/>
    <n v="7553"/>
    <n v="22930"/>
    <n v="0"/>
    <s v="Y"/>
    <x v="0"/>
    <n v="12"/>
    <n v="3"/>
    <n v="1"/>
    <n v="80"/>
    <n v="0"/>
    <n v="9"/>
    <n v="1"/>
    <x v="1"/>
    <n v="8"/>
    <n v="7"/>
    <n v="7"/>
    <n v="7"/>
    <x v="1"/>
    <x v="1"/>
  </r>
  <r>
    <n v="54"/>
    <x v="1"/>
    <x v="0"/>
    <n v="971"/>
    <x v="1"/>
    <n v="1"/>
    <n v="3"/>
    <s v="Medical"/>
    <n v="1"/>
    <n v="1422"/>
    <n v="4"/>
    <s v="Female"/>
    <n v="54"/>
    <n v="3"/>
    <n v="4"/>
    <x v="7"/>
    <n v="4"/>
    <x v="0"/>
    <n v="17328"/>
    <n v="5652"/>
    <n v="6"/>
    <s v="Y"/>
    <x v="1"/>
    <n v="19"/>
    <n v="3"/>
    <n v="4"/>
    <n v="80"/>
    <n v="0"/>
    <n v="29"/>
    <n v="3"/>
    <x v="2"/>
    <n v="20"/>
    <n v="7"/>
    <n v="12"/>
    <n v="7"/>
    <x v="2"/>
    <x v="2"/>
  </r>
  <r>
    <n v="58"/>
    <x v="1"/>
    <x v="0"/>
    <n v="1055"/>
    <x v="1"/>
    <n v="1"/>
    <n v="3"/>
    <s v="Medical"/>
    <n v="1"/>
    <n v="1423"/>
    <n v="4"/>
    <s v="Female"/>
    <n v="76"/>
    <n v="3"/>
    <n v="5"/>
    <x v="7"/>
    <n v="1"/>
    <x v="1"/>
    <n v="19701"/>
    <n v="22456"/>
    <n v="3"/>
    <s v="Y"/>
    <x v="0"/>
    <n v="21"/>
    <n v="4"/>
    <n v="3"/>
    <n v="80"/>
    <n v="1"/>
    <n v="32"/>
    <n v="3"/>
    <x v="1"/>
    <n v="9"/>
    <n v="8"/>
    <n v="1"/>
    <n v="5"/>
    <x v="2"/>
    <x v="1"/>
  </r>
  <r>
    <n v="55"/>
    <x v="1"/>
    <x v="0"/>
    <n v="1136"/>
    <x v="1"/>
    <n v="1"/>
    <n v="4"/>
    <s v="Medical"/>
    <n v="1"/>
    <n v="1424"/>
    <n v="2"/>
    <s v="Male"/>
    <n v="81"/>
    <n v="4"/>
    <n v="4"/>
    <x v="7"/>
    <n v="4"/>
    <x v="2"/>
    <n v="14732"/>
    <n v="12414"/>
    <n v="2"/>
    <s v="Y"/>
    <x v="1"/>
    <n v="13"/>
    <n v="3"/>
    <n v="4"/>
    <n v="80"/>
    <n v="2"/>
    <n v="31"/>
    <n v="4"/>
    <x v="3"/>
    <n v="7"/>
    <n v="7"/>
    <n v="0"/>
    <n v="0"/>
    <x v="2"/>
    <x v="3"/>
  </r>
  <r>
    <n v="36"/>
    <x v="1"/>
    <x v="0"/>
    <n v="1174"/>
    <x v="0"/>
    <n v="3"/>
    <n v="4"/>
    <s v="Marketing"/>
    <n v="1"/>
    <n v="1425"/>
    <n v="1"/>
    <s v="Female"/>
    <n v="99"/>
    <n v="3"/>
    <n v="2"/>
    <x v="0"/>
    <n v="2"/>
    <x v="0"/>
    <n v="9278"/>
    <n v="20763"/>
    <n v="3"/>
    <s v="Y"/>
    <x v="0"/>
    <n v="16"/>
    <n v="3"/>
    <n v="4"/>
    <n v="80"/>
    <n v="0"/>
    <n v="15"/>
    <n v="3"/>
    <x v="1"/>
    <n v="5"/>
    <n v="4"/>
    <n v="0"/>
    <n v="1"/>
    <x v="0"/>
    <x v="1"/>
  </r>
  <r>
    <n v="31"/>
    <x v="0"/>
    <x v="1"/>
    <n v="667"/>
    <x v="0"/>
    <n v="1"/>
    <n v="4"/>
    <s v="Life Sciences"/>
    <n v="1"/>
    <n v="1427"/>
    <n v="2"/>
    <s v="Female"/>
    <n v="50"/>
    <n v="1"/>
    <n v="1"/>
    <x v="6"/>
    <n v="3"/>
    <x v="0"/>
    <n v="1359"/>
    <n v="16154"/>
    <n v="1"/>
    <s v="Y"/>
    <x v="1"/>
    <n v="12"/>
    <n v="3"/>
    <n v="2"/>
    <n v="80"/>
    <n v="0"/>
    <n v="1"/>
    <n v="3"/>
    <x v="1"/>
    <n v="1"/>
    <n v="0"/>
    <n v="0"/>
    <n v="0"/>
    <x v="0"/>
    <x v="1"/>
  </r>
  <r>
    <n v="30"/>
    <x v="1"/>
    <x v="0"/>
    <n v="855"/>
    <x v="0"/>
    <n v="7"/>
    <n v="4"/>
    <s v="Marketing"/>
    <n v="1"/>
    <n v="1428"/>
    <n v="4"/>
    <s v="Female"/>
    <n v="73"/>
    <n v="3"/>
    <n v="2"/>
    <x v="0"/>
    <n v="1"/>
    <x v="2"/>
    <n v="4779"/>
    <n v="12761"/>
    <n v="7"/>
    <s v="Y"/>
    <x v="1"/>
    <n v="14"/>
    <n v="3"/>
    <n v="2"/>
    <n v="80"/>
    <n v="2"/>
    <n v="8"/>
    <n v="3"/>
    <x v="1"/>
    <n v="3"/>
    <n v="2"/>
    <n v="0"/>
    <n v="2"/>
    <x v="1"/>
    <x v="1"/>
  </r>
  <r>
    <n v="31"/>
    <x v="1"/>
    <x v="0"/>
    <n v="182"/>
    <x v="1"/>
    <n v="8"/>
    <n v="5"/>
    <s v="Life Sciences"/>
    <n v="1"/>
    <n v="1430"/>
    <n v="1"/>
    <s v="Female"/>
    <n v="93"/>
    <n v="3"/>
    <n v="4"/>
    <x v="7"/>
    <n v="2"/>
    <x v="0"/>
    <n v="16422"/>
    <n v="8847"/>
    <n v="3"/>
    <s v="Y"/>
    <x v="1"/>
    <n v="11"/>
    <n v="3"/>
    <n v="3"/>
    <n v="80"/>
    <n v="0"/>
    <n v="9"/>
    <n v="3"/>
    <x v="3"/>
    <n v="3"/>
    <n v="2"/>
    <n v="1"/>
    <n v="0"/>
    <x v="0"/>
    <x v="3"/>
  </r>
  <r>
    <n v="34"/>
    <x v="1"/>
    <x v="1"/>
    <n v="560"/>
    <x v="1"/>
    <n v="1"/>
    <n v="4"/>
    <s v="Other"/>
    <n v="1"/>
    <n v="1431"/>
    <n v="4"/>
    <s v="Male"/>
    <n v="91"/>
    <n v="3"/>
    <n v="1"/>
    <x v="1"/>
    <n v="1"/>
    <x v="2"/>
    <n v="2996"/>
    <n v="20284"/>
    <n v="5"/>
    <s v="Y"/>
    <x v="1"/>
    <n v="14"/>
    <n v="3"/>
    <n v="3"/>
    <n v="80"/>
    <n v="2"/>
    <n v="10"/>
    <n v="2"/>
    <x v="1"/>
    <n v="4"/>
    <n v="3"/>
    <n v="1"/>
    <n v="3"/>
    <x v="0"/>
    <x v="1"/>
  </r>
  <r>
    <n v="31"/>
    <x v="0"/>
    <x v="0"/>
    <n v="202"/>
    <x v="1"/>
    <n v="8"/>
    <n v="3"/>
    <s v="Life Sciences"/>
    <n v="1"/>
    <n v="1433"/>
    <n v="1"/>
    <s v="Female"/>
    <n v="34"/>
    <n v="2"/>
    <n v="1"/>
    <x v="1"/>
    <n v="2"/>
    <x v="0"/>
    <n v="1261"/>
    <n v="22262"/>
    <n v="1"/>
    <s v="Y"/>
    <x v="1"/>
    <n v="12"/>
    <n v="3"/>
    <n v="3"/>
    <n v="80"/>
    <n v="0"/>
    <n v="1"/>
    <n v="3"/>
    <x v="3"/>
    <n v="1"/>
    <n v="0"/>
    <n v="0"/>
    <n v="0"/>
    <x v="0"/>
    <x v="3"/>
  </r>
  <r>
    <n v="27"/>
    <x v="1"/>
    <x v="0"/>
    <n v="1377"/>
    <x v="1"/>
    <n v="11"/>
    <n v="1"/>
    <s v="Life Sciences"/>
    <n v="1"/>
    <n v="1434"/>
    <n v="2"/>
    <s v="Male"/>
    <n v="91"/>
    <n v="3"/>
    <n v="1"/>
    <x v="2"/>
    <n v="1"/>
    <x v="1"/>
    <n v="2099"/>
    <n v="7679"/>
    <n v="0"/>
    <s v="Y"/>
    <x v="1"/>
    <n v="14"/>
    <n v="3"/>
    <n v="2"/>
    <n v="80"/>
    <n v="0"/>
    <n v="6"/>
    <n v="3"/>
    <x v="3"/>
    <n v="5"/>
    <n v="0"/>
    <n v="1"/>
    <n v="4"/>
    <x v="1"/>
    <x v="3"/>
  </r>
  <r>
    <n v="36"/>
    <x v="1"/>
    <x v="0"/>
    <n v="172"/>
    <x v="1"/>
    <n v="4"/>
    <n v="4"/>
    <s v="Life Sciences"/>
    <n v="1"/>
    <n v="1435"/>
    <n v="1"/>
    <s v="Male"/>
    <n v="37"/>
    <n v="2"/>
    <n v="2"/>
    <x v="2"/>
    <n v="4"/>
    <x v="0"/>
    <n v="5810"/>
    <n v="22604"/>
    <n v="1"/>
    <s v="Y"/>
    <x v="1"/>
    <n v="16"/>
    <n v="3"/>
    <n v="3"/>
    <n v="80"/>
    <n v="0"/>
    <n v="10"/>
    <n v="2"/>
    <x v="2"/>
    <n v="10"/>
    <n v="4"/>
    <n v="1"/>
    <n v="8"/>
    <x v="0"/>
    <x v="2"/>
  </r>
  <r>
    <n v="36"/>
    <x v="1"/>
    <x v="0"/>
    <n v="329"/>
    <x v="0"/>
    <n v="16"/>
    <n v="4"/>
    <s v="Marketing"/>
    <n v="1"/>
    <n v="1436"/>
    <n v="3"/>
    <s v="Female"/>
    <n v="98"/>
    <n v="2"/>
    <n v="2"/>
    <x v="0"/>
    <n v="1"/>
    <x v="1"/>
    <n v="5647"/>
    <n v="13494"/>
    <n v="4"/>
    <s v="Y"/>
    <x v="1"/>
    <n v="13"/>
    <n v="3"/>
    <n v="1"/>
    <n v="80"/>
    <n v="2"/>
    <n v="11"/>
    <n v="3"/>
    <x v="2"/>
    <n v="3"/>
    <n v="2"/>
    <n v="0"/>
    <n v="2"/>
    <x v="0"/>
    <x v="2"/>
  </r>
  <r>
    <n v="47"/>
    <x v="1"/>
    <x v="0"/>
    <n v="465"/>
    <x v="1"/>
    <n v="1"/>
    <n v="3"/>
    <s v="Technical Degree"/>
    <n v="1"/>
    <n v="1438"/>
    <n v="1"/>
    <s v="Male"/>
    <n v="74"/>
    <n v="3"/>
    <n v="1"/>
    <x v="1"/>
    <n v="4"/>
    <x v="1"/>
    <n v="3420"/>
    <n v="10205"/>
    <n v="7"/>
    <s v="Y"/>
    <x v="1"/>
    <n v="12"/>
    <n v="3"/>
    <n v="3"/>
    <n v="80"/>
    <n v="1"/>
    <n v="17"/>
    <n v="2"/>
    <x v="2"/>
    <n v="6"/>
    <n v="5"/>
    <n v="1"/>
    <n v="2"/>
    <x v="0"/>
    <x v="2"/>
  </r>
  <r>
    <n v="25"/>
    <x v="0"/>
    <x v="0"/>
    <n v="383"/>
    <x v="0"/>
    <n v="9"/>
    <n v="2"/>
    <s v="Life Sciences"/>
    <n v="1"/>
    <n v="1439"/>
    <n v="1"/>
    <s v="Male"/>
    <n v="68"/>
    <n v="2"/>
    <n v="1"/>
    <x v="6"/>
    <n v="1"/>
    <x v="1"/>
    <n v="4400"/>
    <n v="15182"/>
    <n v="3"/>
    <s v="Y"/>
    <x v="1"/>
    <n v="12"/>
    <n v="3"/>
    <n v="1"/>
    <n v="80"/>
    <n v="0"/>
    <n v="6"/>
    <n v="2"/>
    <x v="1"/>
    <n v="3"/>
    <n v="2"/>
    <n v="2"/>
    <n v="2"/>
    <x v="1"/>
    <x v="1"/>
  </r>
  <r>
    <n v="37"/>
    <x v="1"/>
    <x v="2"/>
    <n v="1413"/>
    <x v="1"/>
    <n v="5"/>
    <n v="2"/>
    <s v="Technical Degree"/>
    <n v="1"/>
    <n v="1440"/>
    <n v="3"/>
    <s v="Male"/>
    <n v="84"/>
    <n v="4"/>
    <n v="1"/>
    <x v="2"/>
    <n v="3"/>
    <x v="0"/>
    <n v="3500"/>
    <n v="25470"/>
    <n v="0"/>
    <s v="Y"/>
    <x v="1"/>
    <n v="14"/>
    <n v="3"/>
    <n v="1"/>
    <n v="80"/>
    <n v="0"/>
    <n v="7"/>
    <n v="2"/>
    <x v="0"/>
    <n v="6"/>
    <n v="5"/>
    <n v="1"/>
    <n v="3"/>
    <x v="0"/>
    <x v="0"/>
  </r>
  <r>
    <n v="56"/>
    <x v="1"/>
    <x v="0"/>
    <n v="1255"/>
    <x v="1"/>
    <n v="1"/>
    <n v="2"/>
    <s v="Life Sciences"/>
    <n v="1"/>
    <n v="1441"/>
    <n v="1"/>
    <s v="Female"/>
    <n v="90"/>
    <n v="3"/>
    <n v="1"/>
    <x v="1"/>
    <n v="1"/>
    <x v="1"/>
    <n v="2066"/>
    <n v="10494"/>
    <n v="2"/>
    <s v="Y"/>
    <x v="1"/>
    <n v="22"/>
    <n v="4"/>
    <n v="4"/>
    <n v="80"/>
    <n v="1"/>
    <n v="5"/>
    <n v="3"/>
    <x v="3"/>
    <n v="3"/>
    <n v="2"/>
    <n v="1"/>
    <n v="0"/>
    <x v="2"/>
    <x v="3"/>
  </r>
  <r>
    <n v="47"/>
    <x v="1"/>
    <x v="0"/>
    <n v="359"/>
    <x v="1"/>
    <n v="2"/>
    <n v="4"/>
    <s v="Medical"/>
    <n v="1"/>
    <n v="1443"/>
    <n v="1"/>
    <s v="Female"/>
    <n v="82"/>
    <n v="3"/>
    <n v="4"/>
    <x v="7"/>
    <n v="3"/>
    <x v="1"/>
    <n v="17169"/>
    <n v="26703"/>
    <n v="3"/>
    <s v="Y"/>
    <x v="1"/>
    <n v="19"/>
    <n v="3"/>
    <n v="2"/>
    <n v="80"/>
    <n v="2"/>
    <n v="26"/>
    <n v="2"/>
    <x v="3"/>
    <n v="20"/>
    <n v="17"/>
    <n v="5"/>
    <n v="6"/>
    <x v="0"/>
    <x v="3"/>
  </r>
  <r>
    <n v="24"/>
    <x v="1"/>
    <x v="0"/>
    <n v="1476"/>
    <x v="0"/>
    <n v="4"/>
    <n v="1"/>
    <s v="Medical"/>
    <n v="1"/>
    <n v="1445"/>
    <n v="4"/>
    <s v="Female"/>
    <n v="42"/>
    <n v="3"/>
    <n v="2"/>
    <x v="0"/>
    <n v="3"/>
    <x v="1"/>
    <n v="4162"/>
    <n v="15211"/>
    <n v="1"/>
    <s v="Y"/>
    <x v="0"/>
    <n v="12"/>
    <n v="3"/>
    <n v="3"/>
    <n v="80"/>
    <n v="2"/>
    <n v="5"/>
    <n v="3"/>
    <x v="1"/>
    <n v="5"/>
    <n v="4"/>
    <n v="0"/>
    <n v="3"/>
    <x v="1"/>
    <x v="1"/>
  </r>
  <r>
    <n v="32"/>
    <x v="1"/>
    <x v="0"/>
    <n v="601"/>
    <x v="0"/>
    <n v="7"/>
    <n v="5"/>
    <s v="Marketing"/>
    <n v="1"/>
    <n v="1446"/>
    <n v="4"/>
    <s v="Male"/>
    <n v="97"/>
    <n v="3"/>
    <n v="2"/>
    <x v="0"/>
    <n v="4"/>
    <x v="1"/>
    <n v="9204"/>
    <n v="23343"/>
    <n v="4"/>
    <s v="Y"/>
    <x v="1"/>
    <n v="12"/>
    <n v="3"/>
    <n v="3"/>
    <n v="80"/>
    <n v="1"/>
    <n v="7"/>
    <n v="3"/>
    <x v="2"/>
    <n v="4"/>
    <n v="3"/>
    <n v="0"/>
    <n v="3"/>
    <x v="0"/>
    <x v="2"/>
  </r>
  <r>
    <n v="34"/>
    <x v="1"/>
    <x v="0"/>
    <n v="401"/>
    <x v="1"/>
    <n v="1"/>
    <n v="3"/>
    <s v="Life Sciences"/>
    <n v="1"/>
    <n v="1447"/>
    <n v="4"/>
    <s v="Female"/>
    <n v="86"/>
    <n v="2"/>
    <n v="1"/>
    <x v="2"/>
    <n v="2"/>
    <x v="1"/>
    <n v="3294"/>
    <n v="3708"/>
    <n v="5"/>
    <s v="Y"/>
    <x v="1"/>
    <n v="17"/>
    <n v="3"/>
    <n v="1"/>
    <n v="80"/>
    <n v="1"/>
    <n v="7"/>
    <n v="2"/>
    <x v="2"/>
    <n v="5"/>
    <n v="4"/>
    <n v="0"/>
    <n v="2"/>
    <x v="0"/>
    <x v="2"/>
  </r>
  <r>
    <n v="41"/>
    <x v="1"/>
    <x v="0"/>
    <n v="1283"/>
    <x v="1"/>
    <n v="5"/>
    <n v="5"/>
    <s v="Medical"/>
    <n v="1"/>
    <n v="1448"/>
    <n v="2"/>
    <s v="Male"/>
    <n v="90"/>
    <n v="4"/>
    <n v="1"/>
    <x v="1"/>
    <n v="3"/>
    <x v="1"/>
    <n v="2127"/>
    <n v="5561"/>
    <n v="2"/>
    <s v="Y"/>
    <x v="0"/>
    <n v="12"/>
    <n v="3"/>
    <n v="1"/>
    <n v="80"/>
    <n v="0"/>
    <n v="7"/>
    <n v="5"/>
    <x v="2"/>
    <n v="4"/>
    <n v="2"/>
    <n v="0"/>
    <n v="3"/>
    <x v="0"/>
    <x v="2"/>
  </r>
  <r>
    <n v="40"/>
    <x v="1"/>
    <x v="2"/>
    <n v="663"/>
    <x v="1"/>
    <n v="9"/>
    <n v="4"/>
    <s v="Other"/>
    <n v="1"/>
    <n v="1449"/>
    <n v="3"/>
    <s v="Male"/>
    <n v="81"/>
    <n v="3"/>
    <n v="2"/>
    <x v="2"/>
    <n v="3"/>
    <x v="2"/>
    <n v="3975"/>
    <n v="23099"/>
    <n v="3"/>
    <s v="Y"/>
    <x v="1"/>
    <n v="11"/>
    <n v="3"/>
    <n v="3"/>
    <n v="80"/>
    <n v="2"/>
    <n v="11"/>
    <n v="2"/>
    <x v="3"/>
    <n v="8"/>
    <n v="7"/>
    <n v="0"/>
    <n v="7"/>
    <x v="0"/>
    <x v="3"/>
  </r>
  <r>
    <n v="31"/>
    <x v="1"/>
    <x v="0"/>
    <n v="326"/>
    <x v="0"/>
    <n v="8"/>
    <n v="2"/>
    <s v="Life Sciences"/>
    <n v="1"/>
    <n v="1453"/>
    <n v="1"/>
    <s v="Male"/>
    <n v="31"/>
    <n v="3"/>
    <n v="3"/>
    <x v="0"/>
    <n v="4"/>
    <x v="2"/>
    <n v="10793"/>
    <n v="8386"/>
    <n v="1"/>
    <s v="Y"/>
    <x v="1"/>
    <n v="18"/>
    <n v="3"/>
    <n v="1"/>
    <n v="80"/>
    <n v="1"/>
    <n v="13"/>
    <n v="5"/>
    <x v="1"/>
    <n v="13"/>
    <n v="7"/>
    <n v="9"/>
    <n v="9"/>
    <x v="0"/>
    <x v="1"/>
  </r>
  <r>
    <n v="46"/>
    <x v="0"/>
    <x v="0"/>
    <n v="377"/>
    <x v="0"/>
    <n v="9"/>
    <n v="3"/>
    <s v="Marketing"/>
    <n v="1"/>
    <n v="1457"/>
    <n v="1"/>
    <s v="Male"/>
    <n v="52"/>
    <n v="3"/>
    <n v="3"/>
    <x v="0"/>
    <n v="4"/>
    <x v="2"/>
    <n v="10096"/>
    <n v="15986"/>
    <n v="4"/>
    <s v="Y"/>
    <x v="1"/>
    <n v="11"/>
    <n v="3"/>
    <n v="1"/>
    <n v="80"/>
    <n v="1"/>
    <n v="28"/>
    <n v="1"/>
    <x v="3"/>
    <n v="7"/>
    <n v="7"/>
    <n v="4"/>
    <n v="3"/>
    <x v="0"/>
    <x v="3"/>
  </r>
  <r>
    <n v="39"/>
    <x v="0"/>
    <x v="2"/>
    <n v="592"/>
    <x v="1"/>
    <n v="2"/>
    <n v="3"/>
    <s v="Life Sciences"/>
    <n v="1"/>
    <n v="1458"/>
    <n v="1"/>
    <s v="Female"/>
    <n v="54"/>
    <n v="2"/>
    <n v="1"/>
    <x v="2"/>
    <n v="1"/>
    <x v="0"/>
    <n v="3646"/>
    <n v="17181"/>
    <n v="2"/>
    <s v="Y"/>
    <x v="0"/>
    <n v="23"/>
    <n v="4"/>
    <n v="2"/>
    <n v="80"/>
    <n v="0"/>
    <n v="11"/>
    <n v="2"/>
    <x v="3"/>
    <n v="1"/>
    <n v="0"/>
    <n v="0"/>
    <n v="0"/>
    <x v="0"/>
    <x v="3"/>
  </r>
  <r>
    <n v="31"/>
    <x v="0"/>
    <x v="1"/>
    <n v="1445"/>
    <x v="1"/>
    <n v="1"/>
    <n v="5"/>
    <s v="Life Sciences"/>
    <n v="1"/>
    <n v="1459"/>
    <n v="3"/>
    <s v="Female"/>
    <n v="100"/>
    <n v="4"/>
    <n v="3"/>
    <x v="3"/>
    <n v="2"/>
    <x v="0"/>
    <n v="7446"/>
    <n v="8931"/>
    <n v="1"/>
    <s v="Y"/>
    <x v="1"/>
    <n v="11"/>
    <n v="3"/>
    <n v="1"/>
    <n v="80"/>
    <n v="0"/>
    <n v="10"/>
    <n v="2"/>
    <x v="1"/>
    <n v="10"/>
    <n v="8"/>
    <n v="4"/>
    <n v="7"/>
    <x v="0"/>
    <x v="1"/>
  </r>
  <r>
    <n v="45"/>
    <x v="1"/>
    <x v="0"/>
    <n v="1038"/>
    <x v="1"/>
    <n v="20"/>
    <n v="3"/>
    <s v="Medical"/>
    <n v="1"/>
    <n v="1460"/>
    <n v="2"/>
    <s v="Male"/>
    <n v="95"/>
    <n v="1"/>
    <n v="3"/>
    <x v="4"/>
    <n v="1"/>
    <x v="2"/>
    <n v="10851"/>
    <n v="19863"/>
    <n v="2"/>
    <s v="Y"/>
    <x v="0"/>
    <n v="18"/>
    <n v="3"/>
    <n v="2"/>
    <n v="80"/>
    <n v="1"/>
    <n v="24"/>
    <n v="2"/>
    <x v="1"/>
    <n v="7"/>
    <n v="7"/>
    <n v="0"/>
    <n v="7"/>
    <x v="0"/>
    <x v="1"/>
  </r>
  <r>
    <n v="31"/>
    <x v="1"/>
    <x v="0"/>
    <n v="1398"/>
    <x v="2"/>
    <n v="8"/>
    <n v="2"/>
    <s v="Medical"/>
    <n v="1"/>
    <n v="1461"/>
    <n v="4"/>
    <s v="Female"/>
    <n v="96"/>
    <n v="4"/>
    <n v="1"/>
    <x v="8"/>
    <n v="2"/>
    <x v="0"/>
    <n v="2109"/>
    <n v="24609"/>
    <n v="9"/>
    <s v="Y"/>
    <x v="1"/>
    <n v="18"/>
    <n v="3"/>
    <n v="4"/>
    <n v="80"/>
    <n v="0"/>
    <n v="8"/>
    <n v="3"/>
    <x v="1"/>
    <n v="3"/>
    <n v="2"/>
    <n v="0"/>
    <n v="2"/>
    <x v="0"/>
    <x v="1"/>
  </r>
  <r>
    <n v="31"/>
    <x v="0"/>
    <x v="1"/>
    <n v="523"/>
    <x v="1"/>
    <n v="2"/>
    <n v="3"/>
    <s v="Life Sciences"/>
    <n v="1"/>
    <n v="1464"/>
    <n v="2"/>
    <s v="Male"/>
    <n v="94"/>
    <n v="3"/>
    <n v="1"/>
    <x v="2"/>
    <n v="4"/>
    <x v="1"/>
    <n v="3722"/>
    <n v="21081"/>
    <n v="6"/>
    <s v="Y"/>
    <x v="0"/>
    <n v="13"/>
    <n v="3"/>
    <n v="3"/>
    <n v="80"/>
    <n v="1"/>
    <n v="7"/>
    <n v="2"/>
    <x v="0"/>
    <n v="2"/>
    <n v="2"/>
    <n v="2"/>
    <n v="2"/>
    <x v="0"/>
    <x v="0"/>
  </r>
  <r>
    <n v="45"/>
    <x v="1"/>
    <x v="0"/>
    <n v="1448"/>
    <x v="1"/>
    <n v="29"/>
    <n v="3"/>
    <s v="Technical Degree"/>
    <n v="1"/>
    <n v="1465"/>
    <n v="2"/>
    <s v="Male"/>
    <n v="55"/>
    <n v="3"/>
    <n v="3"/>
    <x v="3"/>
    <n v="4"/>
    <x v="1"/>
    <n v="9380"/>
    <n v="14720"/>
    <n v="4"/>
    <s v="Y"/>
    <x v="0"/>
    <n v="18"/>
    <n v="3"/>
    <n v="4"/>
    <n v="80"/>
    <n v="2"/>
    <n v="10"/>
    <n v="4"/>
    <x v="3"/>
    <n v="3"/>
    <n v="1"/>
    <n v="1"/>
    <n v="2"/>
    <x v="0"/>
    <x v="3"/>
  </r>
  <r>
    <n v="48"/>
    <x v="1"/>
    <x v="0"/>
    <n v="1221"/>
    <x v="0"/>
    <n v="7"/>
    <n v="3"/>
    <s v="Marketing"/>
    <n v="1"/>
    <n v="1466"/>
    <n v="3"/>
    <s v="Male"/>
    <n v="96"/>
    <n v="3"/>
    <n v="2"/>
    <x v="0"/>
    <n v="1"/>
    <x v="2"/>
    <n v="5486"/>
    <n v="24795"/>
    <n v="4"/>
    <s v="Y"/>
    <x v="1"/>
    <n v="11"/>
    <n v="3"/>
    <n v="1"/>
    <n v="80"/>
    <n v="3"/>
    <n v="15"/>
    <n v="3"/>
    <x v="1"/>
    <n v="2"/>
    <n v="2"/>
    <n v="2"/>
    <n v="2"/>
    <x v="0"/>
    <x v="1"/>
  </r>
  <r>
    <n v="34"/>
    <x v="0"/>
    <x v="0"/>
    <n v="1107"/>
    <x v="2"/>
    <n v="9"/>
    <n v="4"/>
    <s v="Technical Degree"/>
    <n v="1"/>
    <n v="1467"/>
    <n v="1"/>
    <s v="Female"/>
    <n v="52"/>
    <n v="3"/>
    <n v="1"/>
    <x v="8"/>
    <n v="3"/>
    <x v="1"/>
    <n v="2742"/>
    <n v="3072"/>
    <n v="1"/>
    <s v="Y"/>
    <x v="1"/>
    <n v="15"/>
    <n v="3"/>
    <n v="4"/>
    <n v="80"/>
    <n v="0"/>
    <n v="2"/>
    <n v="0"/>
    <x v="1"/>
    <n v="2"/>
    <n v="2"/>
    <n v="2"/>
    <n v="2"/>
    <x v="0"/>
    <x v="1"/>
  </r>
  <r>
    <n v="40"/>
    <x v="1"/>
    <x v="2"/>
    <n v="218"/>
    <x v="1"/>
    <n v="8"/>
    <n v="1"/>
    <s v="Medical"/>
    <n v="1"/>
    <n v="1468"/>
    <n v="4"/>
    <s v="Male"/>
    <n v="55"/>
    <n v="2"/>
    <n v="3"/>
    <x v="7"/>
    <n v="2"/>
    <x v="2"/>
    <n v="13757"/>
    <n v="25178"/>
    <n v="2"/>
    <s v="Y"/>
    <x v="1"/>
    <n v="11"/>
    <n v="3"/>
    <n v="3"/>
    <n v="80"/>
    <n v="1"/>
    <n v="16"/>
    <n v="5"/>
    <x v="1"/>
    <n v="9"/>
    <n v="8"/>
    <n v="4"/>
    <n v="8"/>
    <x v="0"/>
    <x v="1"/>
  </r>
  <r>
    <n v="28"/>
    <x v="1"/>
    <x v="0"/>
    <n v="866"/>
    <x v="0"/>
    <n v="5"/>
    <n v="3"/>
    <s v="Medical"/>
    <n v="1"/>
    <n v="1469"/>
    <n v="4"/>
    <s v="Male"/>
    <n v="84"/>
    <n v="3"/>
    <n v="2"/>
    <x v="0"/>
    <n v="1"/>
    <x v="0"/>
    <n v="8463"/>
    <n v="23490"/>
    <n v="0"/>
    <s v="Y"/>
    <x v="1"/>
    <n v="18"/>
    <n v="3"/>
    <n v="4"/>
    <n v="80"/>
    <n v="0"/>
    <n v="6"/>
    <n v="4"/>
    <x v="1"/>
    <n v="5"/>
    <n v="4"/>
    <n v="1"/>
    <n v="3"/>
    <x v="1"/>
    <x v="1"/>
  </r>
  <r>
    <n v="44"/>
    <x v="1"/>
    <x v="2"/>
    <n v="981"/>
    <x v="1"/>
    <n v="5"/>
    <n v="3"/>
    <s v="Life Sciences"/>
    <n v="1"/>
    <n v="1471"/>
    <n v="3"/>
    <s v="Male"/>
    <n v="90"/>
    <n v="2"/>
    <n v="1"/>
    <x v="2"/>
    <n v="3"/>
    <x v="0"/>
    <n v="3162"/>
    <n v="7973"/>
    <n v="3"/>
    <s v="Y"/>
    <x v="1"/>
    <n v="14"/>
    <n v="3"/>
    <n v="4"/>
    <n v="80"/>
    <n v="0"/>
    <n v="7"/>
    <n v="5"/>
    <x v="1"/>
    <n v="5"/>
    <n v="2"/>
    <n v="0"/>
    <n v="3"/>
    <x v="0"/>
    <x v="1"/>
  </r>
  <r>
    <n v="53"/>
    <x v="1"/>
    <x v="0"/>
    <n v="447"/>
    <x v="1"/>
    <n v="2"/>
    <n v="3"/>
    <s v="Medical"/>
    <n v="1"/>
    <n v="1472"/>
    <n v="4"/>
    <s v="Male"/>
    <n v="39"/>
    <n v="4"/>
    <n v="4"/>
    <x v="7"/>
    <n v="2"/>
    <x v="0"/>
    <n v="16598"/>
    <n v="19764"/>
    <n v="4"/>
    <s v="Y"/>
    <x v="1"/>
    <n v="12"/>
    <n v="3"/>
    <n v="2"/>
    <n v="80"/>
    <n v="0"/>
    <n v="35"/>
    <n v="2"/>
    <x v="2"/>
    <n v="9"/>
    <n v="8"/>
    <n v="8"/>
    <n v="8"/>
    <x v="2"/>
    <x v="2"/>
  </r>
  <r>
    <n v="49"/>
    <x v="1"/>
    <x v="0"/>
    <n v="1495"/>
    <x v="1"/>
    <n v="5"/>
    <n v="4"/>
    <s v="Technical Degree"/>
    <n v="1"/>
    <n v="1473"/>
    <n v="1"/>
    <s v="Male"/>
    <n v="96"/>
    <n v="3"/>
    <n v="2"/>
    <x v="4"/>
    <n v="3"/>
    <x v="1"/>
    <n v="6651"/>
    <n v="21534"/>
    <n v="2"/>
    <s v="Y"/>
    <x v="1"/>
    <n v="14"/>
    <n v="3"/>
    <n v="2"/>
    <n v="80"/>
    <n v="1"/>
    <n v="20"/>
    <n v="0"/>
    <x v="2"/>
    <n v="3"/>
    <n v="2"/>
    <n v="1"/>
    <n v="2"/>
    <x v="0"/>
    <x v="2"/>
  </r>
  <r>
    <n v="40"/>
    <x v="1"/>
    <x v="0"/>
    <n v="896"/>
    <x v="1"/>
    <n v="2"/>
    <n v="3"/>
    <s v="Medical"/>
    <n v="1"/>
    <n v="1474"/>
    <n v="3"/>
    <s v="Male"/>
    <n v="68"/>
    <n v="3"/>
    <n v="1"/>
    <x v="1"/>
    <n v="3"/>
    <x v="2"/>
    <n v="2345"/>
    <n v="8045"/>
    <n v="2"/>
    <s v="Y"/>
    <x v="1"/>
    <n v="14"/>
    <n v="3"/>
    <n v="3"/>
    <n v="80"/>
    <n v="1"/>
    <n v="8"/>
    <n v="3"/>
    <x v="3"/>
    <n v="3"/>
    <n v="1"/>
    <n v="1"/>
    <n v="2"/>
    <x v="0"/>
    <x v="3"/>
  </r>
  <r>
    <n v="44"/>
    <x v="1"/>
    <x v="0"/>
    <n v="1467"/>
    <x v="1"/>
    <n v="20"/>
    <n v="3"/>
    <s v="Life Sciences"/>
    <n v="1"/>
    <n v="1475"/>
    <n v="4"/>
    <s v="Male"/>
    <n v="49"/>
    <n v="3"/>
    <n v="1"/>
    <x v="1"/>
    <n v="2"/>
    <x v="0"/>
    <n v="3420"/>
    <n v="21158"/>
    <n v="1"/>
    <s v="Y"/>
    <x v="1"/>
    <n v="13"/>
    <n v="3"/>
    <n v="3"/>
    <n v="80"/>
    <n v="0"/>
    <n v="6"/>
    <n v="3"/>
    <x v="2"/>
    <n v="5"/>
    <n v="2"/>
    <n v="1"/>
    <n v="3"/>
    <x v="0"/>
    <x v="2"/>
  </r>
  <r>
    <n v="33"/>
    <x v="1"/>
    <x v="1"/>
    <n v="430"/>
    <x v="0"/>
    <n v="7"/>
    <n v="3"/>
    <s v="Medical"/>
    <n v="1"/>
    <n v="1477"/>
    <n v="4"/>
    <s v="Male"/>
    <n v="54"/>
    <n v="3"/>
    <n v="2"/>
    <x v="0"/>
    <n v="1"/>
    <x v="1"/>
    <n v="4373"/>
    <n v="17456"/>
    <n v="0"/>
    <s v="Y"/>
    <x v="1"/>
    <n v="14"/>
    <n v="3"/>
    <n v="1"/>
    <n v="80"/>
    <n v="2"/>
    <n v="5"/>
    <n v="2"/>
    <x v="1"/>
    <n v="4"/>
    <n v="3"/>
    <n v="0"/>
    <n v="3"/>
    <x v="0"/>
    <x v="1"/>
  </r>
  <r>
    <n v="34"/>
    <x v="1"/>
    <x v="0"/>
    <n v="1326"/>
    <x v="0"/>
    <n v="3"/>
    <n v="3"/>
    <s v="Other"/>
    <n v="1"/>
    <n v="1478"/>
    <n v="4"/>
    <s v="Male"/>
    <n v="81"/>
    <n v="1"/>
    <n v="2"/>
    <x v="0"/>
    <n v="1"/>
    <x v="0"/>
    <n v="4759"/>
    <n v="15891"/>
    <n v="3"/>
    <s v="Y"/>
    <x v="1"/>
    <n v="18"/>
    <n v="3"/>
    <n v="4"/>
    <n v="80"/>
    <n v="0"/>
    <n v="15"/>
    <n v="2"/>
    <x v="1"/>
    <n v="13"/>
    <n v="9"/>
    <n v="3"/>
    <n v="12"/>
    <x v="0"/>
    <x v="1"/>
  </r>
  <r>
    <n v="30"/>
    <x v="1"/>
    <x v="0"/>
    <n v="1358"/>
    <x v="0"/>
    <n v="16"/>
    <n v="1"/>
    <s v="Life Sciences"/>
    <n v="1"/>
    <n v="1479"/>
    <n v="4"/>
    <s v="Male"/>
    <n v="96"/>
    <n v="3"/>
    <n v="2"/>
    <x v="0"/>
    <n v="3"/>
    <x v="1"/>
    <n v="5301"/>
    <n v="2939"/>
    <n v="8"/>
    <s v="Y"/>
    <x v="1"/>
    <n v="15"/>
    <n v="3"/>
    <n v="3"/>
    <n v="80"/>
    <n v="2"/>
    <n v="4"/>
    <n v="2"/>
    <x v="2"/>
    <n v="2"/>
    <n v="1"/>
    <n v="2"/>
    <n v="2"/>
    <x v="1"/>
    <x v="2"/>
  </r>
  <r>
    <n v="42"/>
    <x v="1"/>
    <x v="1"/>
    <n v="748"/>
    <x v="1"/>
    <n v="9"/>
    <n v="2"/>
    <s v="Medical"/>
    <n v="1"/>
    <n v="1480"/>
    <n v="1"/>
    <s v="Female"/>
    <n v="74"/>
    <n v="3"/>
    <n v="1"/>
    <x v="2"/>
    <n v="4"/>
    <x v="0"/>
    <n v="3673"/>
    <n v="16458"/>
    <n v="1"/>
    <s v="Y"/>
    <x v="1"/>
    <n v="13"/>
    <n v="3"/>
    <n v="3"/>
    <n v="80"/>
    <n v="0"/>
    <n v="12"/>
    <n v="3"/>
    <x v="1"/>
    <n v="12"/>
    <n v="9"/>
    <n v="5"/>
    <n v="8"/>
    <x v="0"/>
    <x v="1"/>
  </r>
  <r>
    <n v="44"/>
    <x v="1"/>
    <x v="1"/>
    <n v="383"/>
    <x v="0"/>
    <n v="1"/>
    <n v="5"/>
    <s v="Marketing"/>
    <n v="1"/>
    <n v="1481"/>
    <n v="1"/>
    <s v="Female"/>
    <n v="79"/>
    <n v="3"/>
    <n v="2"/>
    <x v="0"/>
    <n v="3"/>
    <x v="1"/>
    <n v="4768"/>
    <n v="9282"/>
    <n v="7"/>
    <s v="Y"/>
    <x v="1"/>
    <n v="12"/>
    <n v="3"/>
    <n v="3"/>
    <n v="80"/>
    <n v="1"/>
    <n v="11"/>
    <n v="4"/>
    <x v="2"/>
    <n v="1"/>
    <n v="0"/>
    <n v="0"/>
    <n v="0"/>
    <x v="0"/>
    <x v="2"/>
  </r>
  <r>
    <n v="30"/>
    <x v="1"/>
    <x v="2"/>
    <n v="990"/>
    <x v="1"/>
    <n v="7"/>
    <n v="3"/>
    <s v="Technical Degree"/>
    <n v="1"/>
    <n v="1482"/>
    <n v="3"/>
    <s v="Male"/>
    <n v="64"/>
    <n v="3"/>
    <n v="1"/>
    <x v="1"/>
    <n v="3"/>
    <x v="2"/>
    <n v="1274"/>
    <n v="7152"/>
    <n v="1"/>
    <s v="Y"/>
    <x v="1"/>
    <n v="13"/>
    <n v="3"/>
    <n v="2"/>
    <n v="80"/>
    <n v="2"/>
    <n v="1"/>
    <n v="2"/>
    <x v="2"/>
    <n v="1"/>
    <n v="0"/>
    <n v="0"/>
    <n v="0"/>
    <x v="1"/>
    <x v="2"/>
  </r>
  <r>
    <n v="57"/>
    <x v="1"/>
    <x v="0"/>
    <n v="405"/>
    <x v="1"/>
    <n v="1"/>
    <n v="2"/>
    <s v="Life Sciences"/>
    <n v="1"/>
    <n v="1483"/>
    <n v="2"/>
    <s v="Male"/>
    <n v="93"/>
    <n v="4"/>
    <n v="2"/>
    <x v="1"/>
    <n v="3"/>
    <x v="1"/>
    <n v="4900"/>
    <n v="2721"/>
    <n v="0"/>
    <s v="Y"/>
    <x v="1"/>
    <n v="24"/>
    <n v="4"/>
    <n v="1"/>
    <n v="80"/>
    <n v="1"/>
    <n v="13"/>
    <n v="2"/>
    <x v="2"/>
    <n v="12"/>
    <n v="9"/>
    <n v="2"/>
    <n v="8"/>
    <x v="2"/>
    <x v="2"/>
  </r>
  <r>
    <n v="49"/>
    <x v="1"/>
    <x v="0"/>
    <n v="1490"/>
    <x v="1"/>
    <n v="7"/>
    <n v="4"/>
    <s v="Life Sciences"/>
    <n v="1"/>
    <n v="1484"/>
    <n v="3"/>
    <s v="Male"/>
    <n v="35"/>
    <n v="3"/>
    <n v="3"/>
    <x v="4"/>
    <n v="2"/>
    <x v="2"/>
    <n v="10466"/>
    <n v="20948"/>
    <n v="3"/>
    <s v="Y"/>
    <x v="1"/>
    <n v="14"/>
    <n v="3"/>
    <n v="2"/>
    <n v="80"/>
    <n v="2"/>
    <n v="29"/>
    <n v="3"/>
    <x v="1"/>
    <n v="8"/>
    <n v="7"/>
    <n v="0"/>
    <n v="7"/>
    <x v="0"/>
    <x v="1"/>
  </r>
  <r>
    <n v="34"/>
    <x v="1"/>
    <x v="1"/>
    <n v="829"/>
    <x v="1"/>
    <n v="15"/>
    <n v="3"/>
    <s v="Medical"/>
    <n v="1"/>
    <n v="1485"/>
    <n v="2"/>
    <s v="Male"/>
    <n v="71"/>
    <n v="3"/>
    <n v="4"/>
    <x v="7"/>
    <n v="1"/>
    <x v="2"/>
    <n v="17007"/>
    <n v="11929"/>
    <n v="7"/>
    <s v="Y"/>
    <x v="1"/>
    <n v="14"/>
    <n v="3"/>
    <n v="4"/>
    <n v="80"/>
    <n v="2"/>
    <n v="16"/>
    <n v="3"/>
    <x v="2"/>
    <n v="14"/>
    <n v="8"/>
    <n v="6"/>
    <n v="9"/>
    <x v="0"/>
    <x v="2"/>
  </r>
  <r>
    <n v="28"/>
    <x v="0"/>
    <x v="1"/>
    <n v="1496"/>
    <x v="0"/>
    <n v="1"/>
    <n v="3"/>
    <s v="Technical Degree"/>
    <n v="1"/>
    <n v="1486"/>
    <n v="1"/>
    <s v="Male"/>
    <n v="92"/>
    <n v="3"/>
    <n v="1"/>
    <x v="6"/>
    <n v="3"/>
    <x v="1"/>
    <n v="2909"/>
    <n v="15747"/>
    <n v="3"/>
    <s v="Y"/>
    <x v="1"/>
    <n v="15"/>
    <n v="3"/>
    <n v="4"/>
    <n v="80"/>
    <n v="1"/>
    <n v="5"/>
    <n v="3"/>
    <x v="3"/>
    <n v="3"/>
    <n v="2"/>
    <n v="1"/>
    <n v="2"/>
    <x v="1"/>
    <x v="3"/>
  </r>
  <r>
    <n v="29"/>
    <x v="0"/>
    <x v="1"/>
    <n v="115"/>
    <x v="0"/>
    <n v="13"/>
    <n v="3"/>
    <s v="Technical Degree"/>
    <n v="1"/>
    <n v="1487"/>
    <n v="1"/>
    <s v="Female"/>
    <n v="51"/>
    <n v="3"/>
    <n v="2"/>
    <x v="0"/>
    <n v="2"/>
    <x v="0"/>
    <n v="5765"/>
    <n v="17485"/>
    <n v="5"/>
    <s v="Y"/>
    <x v="1"/>
    <n v="11"/>
    <n v="3"/>
    <n v="1"/>
    <n v="80"/>
    <n v="0"/>
    <n v="7"/>
    <n v="4"/>
    <x v="0"/>
    <n v="5"/>
    <n v="3"/>
    <n v="0"/>
    <n v="0"/>
    <x v="1"/>
    <x v="0"/>
  </r>
  <r>
    <n v="34"/>
    <x v="0"/>
    <x v="0"/>
    <n v="790"/>
    <x v="0"/>
    <n v="24"/>
    <n v="4"/>
    <s v="Medical"/>
    <n v="1"/>
    <n v="1489"/>
    <n v="1"/>
    <s v="Female"/>
    <n v="40"/>
    <n v="2"/>
    <n v="2"/>
    <x v="0"/>
    <n v="2"/>
    <x v="0"/>
    <n v="4599"/>
    <n v="7815"/>
    <n v="0"/>
    <s v="Y"/>
    <x v="0"/>
    <n v="23"/>
    <n v="4"/>
    <n v="3"/>
    <n v="80"/>
    <n v="0"/>
    <n v="16"/>
    <n v="2"/>
    <x v="3"/>
    <n v="15"/>
    <n v="9"/>
    <n v="10"/>
    <n v="10"/>
    <x v="0"/>
    <x v="3"/>
  </r>
  <r>
    <n v="35"/>
    <x v="1"/>
    <x v="0"/>
    <n v="660"/>
    <x v="0"/>
    <n v="7"/>
    <n v="1"/>
    <s v="Life Sciences"/>
    <n v="1"/>
    <n v="1492"/>
    <n v="4"/>
    <s v="Male"/>
    <n v="76"/>
    <n v="3"/>
    <n v="1"/>
    <x v="6"/>
    <n v="3"/>
    <x v="1"/>
    <n v="2404"/>
    <n v="16192"/>
    <n v="1"/>
    <s v="Y"/>
    <x v="1"/>
    <n v="13"/>
    <n v="3"/>
    <n v="1"/>
    <n v="80"/>
    <n v="1"/>
    <n v="1"/>
    <n v="3"/>
    <x v="1"/>
    <n v="1"/>
    <n v="0"/>
    <n v="0"/>
    <n v="0"/>
    <x v="0"/>
    <x v="1"/>
  </r>
  <r>
    <n v="24"/>
    <x v="0"/>
    <x v="1"/>
    <n v="381"/>
    <x v="1"/>
    <n v="9"/>
    <n v="3"/>
    <s v="Medical"/>
    <n v="1"/>
    <n v="1494"/>
    <n v="2"/>
    <s v="Male"/>
    <n v="89"/>
    <n v="3"/>
    <n v="1"/>
    <x v="2"/>
    <n v="1"/>
    <x v="0"/>
    <n v="3172"/>
    <n v="16998"/>
    <n v="2"/>
    <s v="Y"/>
    <x v="0"/>
    <n v="11"/>
    <n v="3"/>
    <n v="3"/>
    <n v="80"/>
    <n v="0"/>
    <n v="4"/>
    <n v="2"/>
    <x v="2"/>
    <n v="0"/>
    <n v="0"/>
    <n v="0"/>
    <n v="0"/>
    <x v="1"/>
    <x v="2"/>
  </r>
  <r>
    <n v="24"/>
    <x v="1"/>
    <x v="2"/>
    <n v="830"/>
    <x v="0"/>
    <n v="13"/>
    <n v="2"/>
    <s v="Life Sciences"/>
    <n v="1"/>
    <n v="1495"/>
    <n v="4"/>
    <s v="Female"/>
    <n v="78"/>
    <n v="3"/>
    <n v="1"/>
    <x v="6"/>
    <n v="2"/>
    <x v="1"/>
    <n v="2033"/>
    <n v="7103"/>
    <n v="1"/>
    <s v="Y"/>
    <x v="1"/>
    <n v="13"/>
    <n v="3"/>
    <n v="3"/>
    <n v="80"/>
    <n v="1"/>
    <n v="1"/>
    <n v="2"/>
    <x v="1"/>
    <n v="1"/>
    <n v="0"/>
    <n v="0"/>
    <n v="0"/>
    <x v="1"/>
    <x v="1"/>
  </r>
  <r>
    <n v="44"/>
    <x v="1"/>
    <x v="1"/>
    <n v="1193"/>
    <x v="1"/>
    <n v="2"/>
    <n v="1"/>
    <s v="Medical"/>
    <n v="1"/>
    <n v="1496"/>
    <n v="2"/>
    <s v="Male"/>
    <n v="86"/>
    <n v="3"/>
    <n v="3"/>
    <x v="3"/>
    <n v="3"/>
    <x v="0"/>
    <n v="10209"/>
    <n v="19719"/>
    <n v="5"/>
    <s v="Y"/>
    <x v="0"/>
    <n v="18"/>
    <n v="3"/>
    <n v="2"/>
    <n v="80"/>
    <n v="0"/>
    <n v="16"/>
    <n v="2"/>
    <x v="2"/>
    <n v="2"/>
    <n v="2"/>
    <n v="2"/>
    <n v="2"/>
    <x v="0"/>
    <x v="2"/>
  </r>
  <r>
    <n v="29"/>
    <x v="1"/>
    <x v="0"/>
    <n v="1246"/>
    <x v="0"/>
    <n v="19"/>
    <n v="3"/>
    <s v="Life Sciences"/>
    <n v="1"/>
    <n v="1497"/>
    <n v="3"/>
    <s v="Male"/>
    <n v="77"/>
    <n v="2"/>
    <n v="2"/>
    <x v="0"/>
    <n v="3"/>
    <x v="2"/>
    <n v="8620"/>
    <n v="23757"/>
    <n v="1"/>
    <s v="Y"/>
    <x v="1"/>
    <n v="14"/>
    <n v="3"/>
    <n v="3"/>
    <n v="80"/>
    <n v="2"/>
    <n v="10"/>
    <n v="3"/>
    <x v="1"/>
    <n v="10"/>
    <n v="7"/>
    <n v="0"/>
    <n v="4"/>
    <x v="1"/>
    <x v="1"/>
  </r>
  <r>
    <n v="30"/>
    <x v="1"/>
    <x v="0"/>
    <n v="330"/>
    <x v="2"/>
    <n v="1"/>
    <n v="3"/>
    <s v="Life Sciences"/>
    <n v="1"/>
    <n v="1499"/>
    <n v="3"/>
    <s v="Male"/>
    <n v="46"/>
    <n v="3"/>
    <n v="1"/>
    <x v="8"/>
    <n v="3"/>
    <x v="2"/>
    <n v="2064"/>
    <n v="15428"/>
    <n v="0"/>
    <s v="Y"/>
    <x v="1"/>
    <n v="21"/>
    <n v="4"/>
    <n v="1"/>
    <n v="80"/>
    <n v="1"/>
    <n v="6"/>
    <n v="3"/>
    <x v="3"/>
    <n v="5"/>
    <n v="3"/>
    <n v="1"/>
    <n v="3"/>
    <x v="1"/>
    <x v="3"/>
  </r>
  <r>
    <n v="55"/>
    <x v="1"/>
    <x v="0"/>
    <n v="1229"/>
    <x v="1"/>
    <n v="4"/>
    <n v="4"/>
    <s v="Life Sciences"/>
    <n v="1"/>
    <n v="1501"/>
    <n v="4"/>
    <s v="Male"/>
    <n v="30"/>
    <n v="3"/>
    <n v="2"/>
    <x v="4"/>
    <n v="3"/>
    <x v="1"/>
    <n v="4035"/>
    <n v="16143"/>
    <n v="0"/>
    <s v="Y"/>
    <x v="0"/>
    <n v="16"/>
    <n v="3"/>
    <n v="2"/>
    <n v="80"/>
    <n v="0"/>
    <n v="4"/>
    <n v="2"/>
    <x v="1"/>
    <n v="3"/>
    <n v="2"/>
    <n v="1"/>
    <n v="2"/>
    <x v="2"/>
    <x v="1"/>
  </r>
  <r>
    <n v="33"/>
    <x v="1"/>
    <x v="0"/>
    <n v="1099"/>
    <x v="1"/>
    <n v="4"/>
    <n v="4"/>
    <s v="Medical"/>
    <n v="1"/>
    <n v="1502"/>
    <n v="1"/>
    <s v="Female"/>
    <n v="82"/>
    <n v="2"/>
    <n v="1"/>
    <x v="2"/>
    <n v="2"/>
    <x v="1"/>
    <n v="3838"/>
    <n v="8192"/>
    <n v="8"/>
    <s v="Y"/>
    <x v="1"/>
    <n v="11"/>
    <n v="3"/>
    <n v="4"/>
    <n v="80"/>
    <n v="0"/>
    <n v="8"/>
    <n v="5"/>
    <x v="1"/>
    <n v="5"/>
    <n v="4"/>
    <n v="0"/>
    <n v="2"/>
    <x v="0"/>
    <x v="1"/>
  </r>
  <r>
    <n v="47"/>
    <x v="1"/>
    <x v="0"/>
    <n v="571"/>
    <x v="0"/>
    <n v="14"/>
    <n v="3"/>
    <s v="Medical"/>
    <n v="1"/>
    <n v="1503"/>
    <n v="3"/>
    <s v="Female"/>
    <n v="78"/>
    <n v="3"/>
    <n v="2"/>
    <x v="0"/>
    <n v="3"/>
    <x v="1"/>
    <n v="4591"/>
    <n v="24200"/>
    <n v="3"/>
    <s v="Y"/>
    <x v="0"/>
    <n v="17"/>
    <n v="3"/>
    <n v="3"/>
    <n v="80"/>
    <n v="1"/>
    <n v="11"/>
    <n v="4"/>
    <x v="2"/>
    <n v="5"/>
    <n v="4"/>
    <n v="1"/>
    <n v="2"/>
    <x v="0"/>
    <x v="2"/>
  </r>
  <r>
    <n v="28"/>
    <x v="0"/>
    <x v="1"/>
    <n v="289"/>
    <x v="1"/>
    <n v="2"/>
    <n v="2"/>
    <s v="Medical"/>
    <n v="1"/>
    <n v="1504"/>
    <n v="3"/>
    <s v="Male"/>
    <n v="38"/>
    <n v="2"/>
    <n v="1"/>
    <x v="2"/>
    <n v="1"/>
    <x v="0"/>
    <n v="2561"/>
    <n v="5355"/>
    <n v="7"/>
    <s v="Y"/>
    <x v="1"/>
    <n v="11"/>
    <n v="3"/>
    <n v="3"/>
    <n v="80"/>
    <n v="0"/>
    <n v="8"/>
    <n v="2"/>
    <x v="2"/>
    <n v="0"/>
    <n v="0"/>
    <n v="0"/>
    <n v="0"/>
    <x v="1"/>
    <x v="2"/>
  </r>
  <r>
    <n v="28"/>
    <x v="1"/>
    <x v="0"/>
    <n v="1423"/>
    <x v="1"/>
    <n v="1"/>
    <n v="3"/>
    <s v="Life Sciences"/>
    <n v="1"/>
    <n v="1506"/>
    <n v="1"/>
    <s v="Male"/>
    <n v="72"/>
    <n v="2"/>
    <n v="1"/>
    <x v="1"/>
    <n v="3"/>
    <x v="2"/>
    <n v="1563"/>
    <n v="12530"/>
    <n v="1"/>
    <s v="Y"/>
    <x v="1"/>
    <n v="14"/>
    <n v="3"/>
    <n v="4"/>
    <n v="80"/>
    <n v="1"/>
    <n v="1"/>
    <n v="2"/>
    <x v="0"/>
    <n v="1"/>
    <n v="0"/>
    <n v="0"/>
    <n v="0"/>
    <x v="1"/>
    <x v="0"/>
  </r>
  <r>
    <n v="28"/>
    <x v="1"/>
    <x v="1"/>
    <n v="467"/>
    <x v="0"/>
    <n v="7"/>
    <n v="3"/>
    <s v="Life Sciences"/>
    <n v="1"/>
    <n v="1507"/>
    <n v="3"/>
    <s v="Male"/>
    <n v="55"/>
    <n v="3"/>
    <n v="2"/>
    <x v="0"/>
    <n v="1"/>
    <x v="0"/>
    <n v="4898"/>
    <n v="11827"/>
    <n v="0"/>
    <s v="Y"/>
    <x v="1"/>
    <n v="14"/>
    <n v="3"/>
    <n v="4"/>
    <n v="80"/>
    <n v="0"/>
    <n v="5"/>
    <n v="5"/>
    <x v="1"/>
    <n v="4"/>
    <n v="2"/>
    <n v="1"/>
    <n v="3"/>
    <x v="1"/>
    <x v="1"/>
  </r>
  <r>
    <n v="49"/>
    <x v="1"/>
    <x v="0"/>
    <n v="271"/>
    <x v="1"/>
    <n v="3"/>
    <n v="2"/>
    <s v="Medical"/>
    <n v="1"/>
    <n v="1509"/>
    <n v="3"/>
    <s v="Female"/>
    <n v="43"/>
    <n v="2"/>
    <n v="2"/>
    <x v="2"/>
    <n v="1"/>
    <x v="1"/>
    <n v="4789"/>
    <n v="23070"/>
    <n v="4"/>
    <s v="Y"/>
    <x v="1"/>
    <n v="25"/>
    <n v="4"/>
    <n v="1"/>
    <n v="80"/>
    <n v="1"/>
    <n v="10"/>
    <n v="3"/>
    <x v="1"/>
    <n v="3"/>
    <n v="2"/>
    <n v="1"/>
    <n v="2"/>
    <x v="0"/>
    <x v="1"/>
  </r>
  <r>
    <n v="29"/>
    <x v="1"/>
    <x v="1"/>
    <n v="410"/>
    <x v="1"/>
    <n v="2"/>
    <n v="1"/>
    <s v="Life Sciences"/>
    <n v="1"/>
    <n v="1513"/>
    <n v="4"/>
    <s v="Female"/>
    <n v="97"/>
    <n v="3"/>
    <n v="1"/>
    <x v="2"/>
    <n v="2"/>
    <x v="1"/>
    <n v="3180"/>
    <n v="4668"/>
    <n v="0"/>
    <s v="Y"/>
    <x v="1"/>
    <n v="13"/>
    <n v="3"/>
    <n v="3"/>
    <n v="80"/>
    <n v="3"/>
    <n v="4"/>
    <n v="3"/>
    <x v="1"/>
    <n v="3"/>
    <n v="2"/>
    <n v="0"/>
    <n v="2"/>
    <x v="1"/>
    <x v="1"/>
  </r>
  <r>
    <n v="28"/>
    <x v="1"/>
    <x v="0"/>
    <n v="1083"/>
    <x v="1"/>
    <n v="29"/>
    <n v="1"/>
    <s v="Life Sciences"/>
    <n v="1"/>
    <n v="1514"/>
    <n v="3"/>
    <s v="Male"/>
    <n v="96"/>
    <n v="1"/>
    <n v="2"/>
    <x v="3"/>
    <n v="2"/>
    <x v="1"/>
    <n v="6549"/>
    <n v="3173"/>
    <n v="1"/>
    <s v="Y"/>
    <x v="1"/>
    <n v="14"/>
    <n v="3"/>
    <n v="2"/>
    <n v="80"/>
    <n v="2"/>
    <n v="8"/>
    <n v="2"/>
    <x v="2"/>
    <n v="8"/>
    <n v="6"/>
    <n v="1"/>
    <n v="7"/>
    <x v="1"/>
    <x v="2"/>
  </r>
  <r>
    <n v="33"/>
    <x v="1"/>
    <x v="0"/>
    <n v="516"/>
    <x v="1"/>
    <n v="8"/>
    <n v="5"/>
    <s v="Life Sciences"/>
    <n v="1"/>
    <n v="1515"/>
    <n v="4"/>
    <s v="Male"/>
    <n v="69"/>
    <n v="3"/>
    <n v="2"/>
    <x v="4"/>
    <n v="3"/>
    <x v="0"/>
    <n v="6388"/>
    <n v="22049"/>
    <n v="2"/>
    <s v="Y"/>
    <x v="0"/>
    <n v="17"/>
    <n v="3"/>
    <n v="1"/>
    <n v="80"/>
    <n v="0"/>
    <n v="14"/>
    <n v="6"/>
    <x v="1"/>
    <n v="0"/>
    <n v="0"/>
    <n v="0"/>
    <n v="0"/>
    <x v="0"/>
    <x v="1"/>
  </r>
  <r>
    <n v="32"/>
    <x v="1"/>
    <x v="0"/>
    <n v="495"/>
    <x v="1"/>
    <n v="10"/>
    <n v="3"/>
    <s v="Medical"/>
    <n v="1"/>
    <n v="1516"/>
    <n v="3"/>
    <s v="Male"/>
    <n v="64"/>
    <n v="3"/>
    <n v="3"/>
    <x v="5"/>
    <n v="4"/>
    <x v="0"/>
    <n v="11244"/>
    <n v="21072"/>
    <n v="2"/>
    <s v="Y"/>
    <x v="1"/>
    <n v="25"/>
    <n v="4"/>
    <n v="2"/>
    <n v="80"/>
    <n v="0"/>
    <n v="10"/>
    <n v="5"/>
    <x v="3"/>
    <n v="5"/>
    <n v="2"/>
    <n v="0"/>
    <n v="0"/>
    <x v="0"/>
    <x v="3"/>
  </r>
  <r>
    <n v="54"/>
    <x v="1"/>
    <x v="1"/>
    <n v="1050"/>
    <x v="1"/>
    <n v="11"/>
    <n v="4"/>
    <s v="Medical"/>
    <n v="1"/>
    <n v="1520"/>
    <n v="2"/>
    <s v="Female"/>
    <n v="87"/>
    <n v="3"/>
    <n v="4"/>
    <x v="5"/>
    <n v="4"/>
    <x v="2"/>
    <n v="16032"/>
    <n v="24456"/>
    <n v="3"/>
    <s v="Y"/>
    <x v="1"/>
    <n v="20"/>
    <n v="4"/>
    <n v="1"/>
    <n v="80"/>
    <n v="1"/>
    <n v="26"/>
    <n v="2"/>
    <x v="1"/>
    <n v="14"/>
    <n v="9"/>
    <n v="1"/>
    <n v="12"/>
    <x v="2"/>
    <x v="1"/>
  </r>
  <r>
    <n v="29"/>
    <x v="0"/>
    <x v="0"/>
    <n v="224"/>
    <x v="1"/>
    <n v="1"/>
    <n v="4"/>
    <s v="Technical Degree"/>
    <n v="1"/>
    <n v="1522"/>
    <n v="1"/>
    <s v="Male"/>
    <n v="100"/>
    <n v="2"/>
    <n v="1"/>
    <x v="1"/>
    <n v="1"/>
    <x v="0"/>
    <n v="2362"/>
    <n v="7568"/>
    <n v="6"/>
    <s v="Y"/>
    <x v="1"/>
    <n v="13"/>
    <n v="3"/>
    <n v="3"/>
    <n v="80"/>
    <n v="0"/>
    <n v="11"/>
    <n v="2"/>
    <x v="0"/>
    <n v="9"/>
    <n v="7"/>
    <n v="0"/>
    <n v="7"/>
    <x v="1"/>
    <x v="0"/>
  </r>
  <r>
    <n v="44"/>
    <x v="1"/>
    <x v="0"/>
    <n v="136"/>
    <x v="1"/>
    <n v="28"/>
    <n v="3"/>
    <s v="Life Sciences"/>
    <n v="1"/>
    <n v="1523"/>
    <n v="4"/>
    <s v="Male"/>
    <n v="32"/>
    <n v="3"/>
    <n v="4"/>
    <x v="7"/>
    <n v="1"/>
    <x v="1"/>
    <n v="16328"/>
    <n v="22074"/>
    <n v="3"/>
    <s v="Y"/>
    <x v="1"/>
    <n v="13"/>
    <n v="3"/>
    <n v="3"/>
    <n v="80"/>
    <n v="1"/>
    <n v="24"/>
    <n v="1"/>
    <x v="3"/>
    <n v="20"/>
    <n v="6"/>
    <n v="14"/>
    <n v="17"/>
    <x v="0"/>
    <x v="3"/>
  </r>
  <r>
    <n v="39"/>
    <x v="1"/>
    <x v="0"/>
    <n v="1089"/>
    <x v="1"/>
    <n v="6"/>
    <n v="3"/>
    <s v="Life Sciences"/>
    <n v="1"/>
    <n v="1525"/>
    <n v="2"/>
    <s v="Female"/>
    <n v="32"/>
    <n v="3"/>
    <n v="3"/>
    <x v="3"/>
    <n v="2"/>
    <x v="0"/>
    <n v="8376"/>
    <n v="9150"/>
    <n v="4"/>
    <s v="Y"/>
    <x v="1"/>
    <n v="18"/>
    <n v="3"/>
    <n v="4"/>
    <n v="80"/>
    <n v="0"/>
    <n v="9"/>
    <n v="3"/>
    <x v="1"/>
    <n v="2"/>
    <n v="0"/>
    <n v="2"/>
    <n v="2"/>
    <x v="0"/>
    <x v="1"/>
  </r>
  <r>
    <n v="46"/>
    <x v="1"/>
    <x v="0"/>
    <n v="228"/>
    <x v="0"/>
    <n v="3"/>
    <n v="3"/>
    <s v="Life Sciences"/>
    <n v="1"/>
    <n v="1527"/>
    <n v="3"/>
    <s v="Female"/>
    <n v="51"/>
    <n v="3"/>
    <n v="4"/>
    <x v="5"/>
    <n v="2"/>
    <x v="1"/>
    <n v="16606"/>
    <n v="11380"/>
    <n v="8"/>
    <s v="Y"/>
    <x v="1"/>
    <n v="12"/>
    <n v="3"/>
    <n v="4"/>
    <n v="80"/>
    <n v="1"/>
    <n v="23"/>
    <n v="2"/>
    <x v="3"/>
    <n v="13"/>
    <n v="12"/>
    <n v="5"/>
    <n v="1"/>
    <x v="0"/>
    <x v="3"/>
  </r>
  <r>
    <n v="35"/>
    <x v="1"/>
    <x v="0"/>
    <n v="1029"/>
    <x v="1"/>
    <n v="16"/>
    <n v="3"/>
    <s v="Life Sciences"/>
    <n v="1"/>
    <n v="1529"/>
    <n v="4"/>
    <s v="Female"/>
    <n v="91"/>
    <n v="2"/>
    <n v="3"/>
    <x v="4"/>
    <n v="2"/>
    <x v="0"/>
    <n v="8606"/>
    <n v="21195"/>
    <n v="1"/>
    <s v="Y"/>
    <x v="1"/>
    <n v="19"/>
    <n v="3"/>
    <n v="4"/>
    <n v="80"/>
    <n v="0"/>
    <n v="11"/>
    <n v="3"/>
    <x v="0"/>
    <n v="11"/>
    <n v="8"/>
    <n v="3"/>
    <n v="3"/>
    <x v="0"/>
    <x v="0"/>
  </r>
  <r>
    <n v="23"/>
    <x v="1"/>
    <x v="0"/>
    <n v="507"/>
    <x v="1"/>
    <n v="20"/>
    <n v="1"/>
    <s v="Life Sciences"/>
    <n v="1"/>
    <n v="1533"/>
    <n v="1"/>
    <s v="Male"/>
    <n v="97"/>
    <n v="3"/>
    <n v="2"/>
    <x v="2"/>
    <n v="3"/>
    <x v="0"/>
    <n v="2272"/>
    <n v="24812"/>
    <n v="0"/>
    <s v="Y"/>
    <x v="1"/>
    <n v="14"/>
    <n v="3"/>
    <n v="2"/>
    <n v="80"/>
    <n v="0"/>
    <n v="5"/>
    <n v="2"/>
    <x v="1"/>
    <n v="4"/>
    <n v="3"/>
    <n v="1"/>
    <n v="2"/>
    <x v="1"/>
    <x v="1"/>
  </r>
  <r>
    <n v="40"/>
    <x v="0"/>
    <x v="0"/>
    <n v="676"/>
    <x v="1"/>
    <n v="9"/>
    <n v="4"/>
    <s v="Life Sciences"/>
    <n v="1"/>
    <n v="1534"/>
    <n v="4"/>
    <s v="Male"/>
    <n v="86"/>
    <n v="3"/>
    <n v="1"/>
    <x v="2"/>
    <n v="1"/>
    <x v="0"/>
    <n v="2018"/>
    <n v="21831"/>
    <n v="3"/>
    <s v="Y"/>
    <x v="1"/>
    <n v="14"/>
    <n v="3"/>
    <n v="2"/>
    <n v="80"/>
    <n v="0"/>
    <n v="15"/>
    <n v="3"/>
    <x v="0"/>
    <n v="5"/>
    <n v="4"/>
    <n v="1"/>
    <n v="0"/>
    <x v="0"/>
    <x v="0"/>
  </r>
  <r>
    <n v="34"/>
    <x v="1"/>
    <x v="0"/>
    <n v="971"/>
    <x v="0"/>
    <n v="1"/>
    <n v="3"/>
    <s v="Technical Degree"/>
    <n v="1"/>
    <n v="1535"/>
    <n v="4"/>
    <s v="Male"/>
    <n v="64"/>
    <n v="2"/>
    <n v="3"/>
    <x v="0"/>
    <n v="3"/>
    <x v="1"/>
    <n v="7083"/>
    <n v="12288"/>
    <n v="1"/>
    <s v="Y"/>
    <x v="0"/>
    <n v="14"/>
    <n v="3"/>
    <n v="4"/>
    <n v="80"/>
    <n v="0"/>
    <n v="10"/>
    <n v="3"/>
    <x v="1"/>
    <n v="10"/>
    <n v="9"/>
    <n v="8"/>
    <n v="6"/>
    <x v="0"/>
    <x v="1"/>
  </r>
  <r>
    <n v="31"/>
    <x v="0"/>
    <x v="1"/>
    <n v="561"/>
    <x v="1"/>
    <n v="3"/>
    <n v="3"/>
    <s v="Life Sciences"/>
    <n v="1"/>
    <n v="1537"/>
    <n v="4"/>
    <s v="Female"/>
    <n v="33"/>
    <n v="3"/>
    <n v="1"/>
    <x v="1"/>
    <n v="3"/>
    <x v="0"/>
    <n v="4084"/>
    <n v="4156"/>
    <n v="1"/>
    <s v="Y"/>
    <x v="1"/>
    <n v="12"/>
    <n v="3"/>
    <n v="1"/>
    <n v="80"/>
    <n v="0"/>
    <n v="7"/>
    <n v="2"/>
    <x v="0"/>
    <n v="7"/>
    <n v="2"/>
    <n v="7"/>
    <n v="7"/>
    <x v="0"/>
    <x v="0"/>
  </r>
  <r>
    <n v="50"/>
    <x v="1"/>
    <x v="1"/>
    <n v="333"/>
    <x v="1"/>
    <n v="22"/>
    <n v="5"/>
    <s v="Medical"/>
    <n v="1"/>
    <n v="1539"/>
    <n v="3"/>
    <s v="Male"/>
    <n v="88"/>
    <n v="1"/>
    <n v="4"/>
    <x v="7"/>
    <n v="4"/>
    <x v="0"/>
    <n v="14411"/>
    <n v="24450"/>
    <n v="1"/>
    <s v="Y"/>
    <x v="0"/>
    <n v="13"/>
    <n v="3"/>
    <n v="4"/>
    <n v="80"/>
    <n v="0"/>
    <n v="32"/>
    <n v="2"/>
    <x v="1"/>
    <n v="32"/>
    <n v="6"/>
    <n v="13"/>
    <n v="9"/>
    <x v="0"/>
    <x v="1"/>
  </r>
  <r>
    <n v="34"/>
    <x v="1"/>
    <x v="0"/>
    <n v="1440"/>
    <x v="0"/>
    <n v="7"/>
    <n v="2"/>
    <s v="Technical Degree"/>
    <n v="1"/>
    <n v="1541"/>
    <n v="2"/>
    <s v="Male"/>
    <n v="55"/>
    <n v="3"/>
    <n v="1"/>
    <x v="6"/>
    <n v="3"/>
    <x v="1"/>
    <n v="2308"/>
    <n v="4944"/>
    <n v="0"/>
    <s v="Y"/>
    <x v="0"/>
    <n v="25"/>
    <n v="4"/>
    <n v="2"/>
    <n v="80"/>
    <n v="1"/>
    <n v="12"/>
    <n v="4"/>
    <x v="1"/>
    <n v="11"/>
    <n v="10"/>
    <n v="5"/>
    <n v="7"/>
    <x v="0"/>
    <x v="1"/>
  </r>
  <r>
    <n v="42"/>
    <x v="1"/>
    <x v="0"/>
    <n v="1210"/>
    <x v="1"/>
    <n v="2"/>
    <n v="3"/>
    <s v="Medical"/>
    <n v="1"/>
    <n v="1542"/>
    <n v="3"/>
    <s v="Male"/>
    <n v="68"/>
    <n v="2"/>
    <n v="1"/>
    <x v="2"/>
    <n v="2"/>
    <x v="1"/>
    <n v="4841"/>
    <n v="24052"/>
    <n v="4"/>
    <s v="Y"/>
    <x v="1"/>
    <n v="14"/>
    <n v="3"/>
    <n v="2"/>
    <n v="80"/>
    <n v="1"/>
    <n v="4"/>
    <n v="3"/>
    <x v="1"/>
    <n v="1"/>
    <n v="0"/>
    <n v="0"/>
    <n v="0"/>
    <x v="0"/>
    <x v="1"/>
  </r>
  <r>
    <n v="37"/>
    <x v="1"/>
    <x v="0"/>
    <n v="674"/>
    <x v="1"/>
    <n v="13"/>
    <n v="3"/>
    <s v="Medical"/>
    <n v="1"/>
    <n v="1543"/>
    <n v="1"/>
    <s v="Male"/>
    <n v="47"/>
    <n v="3"/>
    <n v="2"/>
    <x v="1"/>
    <n v="4"/>
    <x v="1"/>
    <n v="4285"/>
    <n v="3031"/>
    <n v="1"/>
    <s v="Y"/>
    <x v="1"/>
    <n v="17"/>
    <n v="3"/>
    <n v="1"/>
    <n v="80"/>
    <n v="0"/>
    <n v="10"/>
    <n v="2"/>
    <x v="1"/>
    <n v="10"/>
    <n v="8"/>
    <n v="3"/>
    <n v="7"/>
    <x v="0"/>
    <x v="1"/>
  </r>
  <r>
    <n v="29"/>
    <x v="1"/>
    <x v="0"/>
    <n v="441"/>
    <x v="1"/>
    <n v="8"/>
    <n v="1"/>
    <s v="Other"/>
    <n v="1"/>
    <n v="1544"/>
    <n v="3"/>
    <s v="Female"/>
    <n v="39"/>
    <n v="1"/>
    <n v="2"/>
    <x v="4"/>
    <n v="1"/>
    <x v="1"/>
    <n v="9715"/>
    <n v="7288"/>
    <n v="3"/>
    <s v="Y"/>
    <x v="1"/>
    <n v="13"/>
    <n v="3"/>
    <n v="3"/>
    <n v="80"/>
    <n v="1"/>
    <n v="9"/>
    <n v="3"/>
    <x v="1"/>
    <n v="7"/>
    <n v="7"/>
    <n v="0"/>
    <n v="7"/>
    <x v="1"/>
    <x v="1"/>
  </r>
  <r>
    <n v="33"/>
    <x v="1"/>
    <x v="0"/>
    <n v="575"/>
    <x v="1"/>
    <n v="25"/>
    <n v="3"/>
    <s v="Life Sciences"/>
    <n v="1"/>
    <n v="1545"/>
    <n v="4"/>
    <s v="Male"/>
    <n v="44"/>
    <n v="2"/>
    <n v="2"/>
    <x v="3"/>
    <n v="2"/>
    <x v="0"/>
    <n v="4320"/>
    <n v="24152"/>
    <n v="1"/>
    <s v="Y"/>
    <x v="1"/>
    <n v="13"/>
    <n v="3"/>
    <n v="4"/>
    <n v="80"/>
    <n v="0"/>
    <n v="5"/>
    <n v="2"/>
    <x v="1"/>
    <n v="5"/>
    <n v="3"/>
    <n v="0"/>
    <n v="2"/>
    <x v="0"/>
    <x v="1"/>
  </r>
  <r>
    <n v="45"/>
    <x v="1"/>
    <x v="0"/>
    <n v="950"/>
    <x v="1"/>
    <n v="28"/>
    <n v="3"/>
    <s v="Technical Degree"/>
    <n v="1"/>
    <n v="1546"/>
    <n v="4"/>
    <s v="Male"/>
    <n v="97"/>
    <n v="3"/>
    <n v="1"/>
    <x v="1"/>
    <n v="4"/>
    <x v="1"/>
    <n v="2132"/>
    <n v="4585"/>
    <n v="4"/>
    <s v="Y"/>
    <x v="1"/>
    <n v="20"/>
    <n v="4"/>
    <n v="4"/>
    <n v="80"/>
    <n v="1"/>
    <n v="8"/>
    <n v="3"/>
    <x v="1"/>
    <n v="5"/>
    <n v="4"/>
    <n v="0"/>
    <n v="3"/>
    <x v="0"/>
    <x v="1"/>
  </r>
  <r>
    <n v="42"/>
    <x v="1"/>
    <x v="1"/>
    <n v="288"/>
    <x v="1"/>
    <n v="2"/>
    <n v="3"/>
    <s v="Life Sciences"/>
    <n v="1"/>
    <n v="1547"/>
    <n v="4"/>
    <s v="Male"/>
    <n v="40"/>
    <n v="3"/>
    <n v="3"/>
    <x v="4"/>
    <n v="4"/>
    <x v="1"/>
    <n v="10124"/>
    <n v="18611"/>
    <n v="2"/>
    <s v="Y"/>
    <x v="0"/>
    <n v="14"/>
    <n v="3"/>
    <n v="3"/>
    <n v="80"/>
    <n v="1"/>
    <n v="24"/>
    <n v="3"/>
    <x v="0"/>
    <n v="20"/>
    <n v="8"/>
    <n v="13"/>
    <n v="9"/>
    <x v="0"/>
    <x v="0"/>
  </r>
  <r>
    <n v="40"/>
    <x v="1"/>
    <x v="0"/>
    <n v="1342"/>
    <x v="0"/>
    <n v="9"/>
    <n v="2"/>
    <s v="Medical"/>
    <n v="1"/>
    <n v="1548"/>
    <n v="1"/>
    <s v="Male"/>
    <n v="47"/>
    <n v="3"/>
    <n v="2"/>
    <x v="0"/>
    <n v="1"/>
    <x v="1"/>
    <n v="5473"/>
    <n v="19345"/>
    <n v="0"/>
    <s v="Y"/>
    <x v="1"/>
    <n v="12"/>
    <n v="3"/>
    <n v="4"/>
    <n v="80"/>
    <n v="0"/>
    <n v="9"/>
    <n v="5"/>
    <x v="3"/>
    <n v="8"/>
    <n v="4"/>
    <n v="7"/>
    <n v="1"/>
    <x v="0"/>
    <x v="3"/>
  </r>
  <r>
    <n v="33"/>
    <x v="1"/>
    <x v="0"/>
    <n v="589"/>
    <x v="1"/>
    <n v="28"/>
    <n v="4"/>
    <s v="Life Sciences"/>
    <n v="1"/>
    <n v="1549"/>
    <n v="2"/>
    <s v="Male"/>
    <n v="79"/>
    <n v="3"/>
    <n v="2"/>
    <x v="2"/>
    <n v="3"/>
    <x v="1"/>
    <n v="5207"/>
    <n v="22949"/>
    <n v="1"/>
    <s v="Y"/>
    <x v="0"/>
    <n v="12"/>
    <n v="3"/>
    <n v="2"/>
    <n v="80"/>
    <n v="1"/>
    <n v="15"/>
    <n v="3"/>
    <x v="1"/>
    <n v="15"/>
    <n v="14"/>
    <n v="5"/>
    <n v="7"/>
    <x v="0"/>
    <x v="1"/>
  </r>
  <r>
    <n v="40"/>
    <x v="1"/>
    <x v="0"/>
    <n v="898"/>
    <x v="2"/>
    <n v="6"/>
    <n v="2"/>
    <s v="Medical"/>
    <n v="1"/>
    <n v="1550"/>
    <n v="3"/>
    <s v="Male"/>
    <n v="38"/>
    <n v="3"/>
    <n v="4"/>
    <x v="5"/>
    <n v="4"/>
    <x v="0"/>
    <n v="16437"/>
    <n v="17381"/>
    <n v="1"/>
    <s v="Y"/>
    <x v="0"/>
    <n v="21"/>
    <n v="4"/>
    <n v="4"/>
    <n v="80"/>
    <n v="0"/>
    <n v="21"/>
    <n v="2"/>
    <x v="1"/>
    <n v="21"/>
    <n v="7"/>
    <n v="7"/>
    <n v="7"/>
    <x v="0"/>
    <x v="1"/>
  </r>
  <r>
    <n v="24"/>
    <x v="1"/>
    <x v="0"/>
    <n v="350"/>
    <x v="1"/>
    <n v="21"/>
    <n v="2"/>
    <s v="Technical Degree"/>
    <n v="1"/>
    <n v="1551"/>
    <n v="3"/>
    <s v="Male"/>
    <n v="57"/>
    <n v="2"/>
    <n v="1"/>
    <x v="2"/>
    <n v="1"/>
    <x v="2"/>
    <n v="2296"/>
    <n v="10036"/>
    <n v="0"/>
    <s v="Y"/>
    <x v="1"/>
    <n v="14"/>
    <n v="3"/>
    <n v="2"/>
    <n v="80"/>
    <n v="3"/>
    <n v="2"/>
    <n v="3"/>
    <x v="1"/>
    <n v="1"/>
    <n v="1"/>
    <n v="0"/>
    <n v="0"/>
    <x v="1"/>
    <x v="1"/>
  </r>
  <r>
    <n v="40"/>
    <x v="1"/>
    <x v="2"/>
    <n v="1142"/>
    <x v="1"/>
    <n v="8"/>
    <n v="2"/>
    <s v="Life Sciences"/>
    <n v="1"/>
    <n v="1552"/>
    <n v="4"/>
    <s v="Male"/>
    <n v="72"/>
    <n v="3"/>
    <n v="2"/>
    <x v="4"/>
    <n v="4"/>
    <x v="2"/>
    <n v="4069"/>
    <n v="8841"/>
    <n v="3"/>
    <s v="Y"/>
    <x v="0"/>
    <n v="18"/>
    <n v="3"/>
    <n v="3"/>
    <n v="80"/>
    <n v="0"/>
    <n v="8"/>
    <n v="2"/>
    <x v="1"/>
    <n v="2"/>
    <n v="2"/>
    <n v="2"/>
    <n v="2"/>
    <x v="0"/>
    <x v="1"/>
  </r>
  <r>
    <n v="45"/>
    <x v="1"/>
    <x v="0"/>
    <n v="538"/>
    <x v="1"/>
    <n v="1"/>
    <n v="4"/>
    <s v="Technical Degree"/>
    <n v="1"/>
    <n v="1553"/>
    <n v="1"/>
    <s v="Male"/>
    <n v="66"/>
    <n v="3"/>
    <n v="3"/>
    <x v="4"/>
    <n v="2"/>
    <x v="2"/>
    <n v="7441"/>
    <n v="20933"/>
    <n v="1"/>
    <s v="Y"/>
    <x v="1"/>
    <n v="12"/>
    <n v="3"/>
    <n v="1"/>
    <n v="80"/>
    <n v="3"/>
    <n v="10"/>
    <n v="4"/>
    <x v="1"/>
    <n v="10"/>
    <n v="8"/>
    <n v="7"/>
    <n v="7"/>
    <x v="0"/>
    <x v="1"/>
  </r>
  <r>
    <n v="35"/>
    <x v="1"/>
    <x v="0"/>
    <n v="1402"/>
    <x v="0"/>
    <n v="28"/>
    <n v="4"/>
    <s v="Life Sciences"/>
    <n v="1"/>
    <n v="1554"/>
    <n v="2"/>
    <s v="Female"/>
    <n v="98"/>
    <n v="2"/>
    <n v="1"/>
    <x v="6"/>
    <n v="3"/>
    <x v="1"/>
    <n v="2430"/>
    <n v="26204"/>
    <n v="0"/>
    <s v="Y"/>
    <x v="1"/>
    <n v="23"/>
    <n v="4"/>
    <n v="1"/>
    <n v="80"/>
    <n v="2"/>
    <n v="6"/>
    <n v="5"/>
    <x v="1"/>
    <n v="5"/>
    <n v="3"/>
    <n v="4"/>
    <n v="2"/>
    <x v="0"/>
    <x v="1"/>
  </r>
  <r>
    <n v="32"/>
    <x v="1"/>
    <x v="0"/>
    <n v="824"/>
    <x v="1"/>
    <n v="5"/>
    <n v="2"/>
    <s v="Life Sciences"/>
    <n v="1"/>
    <n v="1555"/>
    <n v="4"/>
    <s v="Female"/>
    <n v="67"/>
    <n v="2"/>
    <n v="2"/>
    <x v="1"/>
    <n v="2"/>
    <x v="1"/>
    <n v="5878"/>
    <n v="15624"/>
    <n v="3"/>
    <s v="Y"/>
    <x v="1"/>
    <n v="12"/>
    <n v="3"/>
    <n v="1"/>
    <n v="80"/>
    <n v="1"/>
    <n v="12"/>
    <n v="2"/>
    <x v="1"/>
    <n v="7"/>
    <n v="1"/>
    <n v="2"/>
    <n v="5"/>
    <x v="0"/>
    <x v="1"/>
  </r>
  <r>
    <n v="36"/>
    <x v="1"/>
    <x v="0"/>
    <n v="1157"/>
    <x v="0"/>
    <n v="2"/>
    <n v="4"/>
    <s v="Life Sciences"/>
    <n v="1"/>
    <n v="1556"/>
    <n v="3"/>
    <s v="Male"/>
    <n v="70"/>
    <n v="3"/>
    <n v="1"/>
    <x v="6"/>
    <n v="4"/>
    <x v="0"/>
    <n v="2644"/>
    <n v="17001"/>
    <n v="3"/>
    <s v="Y"/>
    <x v="0"/>
    <n v="21"/>
    <n v="4"/>
    <n v="4"/>
    <n v="80"/>
    <n v="0"/>
    <n v="7"/>
    <n v="3"/>
    <x v="2"/>
    <n v="3"/>
    <n v="2"/>
    <n v="1"/>
    <n v="2"/>
    <x v="0"/>
    <x v="2"/>
  </r>
  <r>
    <n v="48"/>
    <x v="1"/>
    <x v="0"/>
    <n v="492"/>
    <x v="0"/>
    <n v="16"/>
    <n v="4"/>
    <s v="Life Sciences"/>
    <n v="1"/>
    <n v="1557"/>
    <n v="3"/>
    <s v="Female"/>
    <n v="96"/>
    <n v="3"/>
    <n v="2"/>
    <x v="0"/>
    <n v="3"/>
    <x v="2"/>
    <n v="6439"/>
    <n v="13693"/>
    <n v="8"/>
    <s v="Y"/>
    <x v="1"/>
    <n v="14"/>
    <n v="3"/>
    <n v="3"/>
    <n v="80"/>
    <n v="1"/>
    <n v="18"/>
    <n v="2"/>
    <x v="1"/>
    <n v="8"/>
    <n v="7"/>
    <n v="7"/>
    <n v="7"/>
    <x v="0"/>
    <x v="1"/>
  </r>
  <r>
    <n v="29"/>
    <x v="1"/>
    <x v="0"/>
    <n v="598"/>
    <x v="1"/>
    <n v="9"/>
    <n v="3"/>
    <s v="Life Sciences"/>
    <n v="1"/>
    <n v="1558"/>
    <n v="3"/>
    <s v="Male"/>
    <n v="91"/>
    <n v="4"/>
    <n v="1"/>
    <x v="1"/>
    <n v="3"/>
    <x v="1"/>
    <n v="2451"/>
    <n v="22376"/>
    <n v="6"/>
    <s v="Y"/>
    <x v="1"/>
    <n v="18"/>
    <n v="3"/>
    <n v="1"/>
    <n v="80"/>
    <n v="2"/>
    <n v="5"/>
    <n v="2"/>
    <x v="2"/>
    <n v="1"/>
    <n v="0"/>
    <n v="0"/>
    <n v="0"/>
    <x v="1"/>
    <x v="2"/>
  </r>
  <r>
    <n v="33"/>
    <x v="1"/>
    <x v="0"/>
    <n v="1242"/>
    <x v="0"/>
    <n v="8"/>
    <n v="4"/>
    <s v="Life Sciences"/>
    <n v="1"/>
    <n v="1560"/>
    <n v="1"/>
    <s v="Male"/>
    <n v="46"/>
    <n v="3"/>
    <n v="2"/>
    <x v="0"/>
    <n v="1"/>
    <x v="1"/>
    <n v="6392"/>
    <n v="10589"/>
    <n v="2"/>
    <s v="Y"/>
    <x v="1"/>
    <n v="13"/>
    <n v="3"/>
    <n v="4"/>
    <n v="80"/>
    <n v="1"/>
    <n v="8"/>
    <n v="6"/>
    <x v="0"/>
    <n v="2"/>
    <n v="2"/>
    <n v="2"/>
    <n v="2"/>
    <x v="0"/>
    <x v="0"/>
  </r>
  <r>
    <n v="30"/>
    <x v="0"/>
    <x v="0"/>
    <n v="740"/>
    <x v="0"/>
    <n v="1"/>
    <n v="3"/>
    <s v="Life Sciences"/>
    <n v="1"/>
    <n v="1562"/>
    <n v="2"/>
    <s v="Male"/>
    <n v="64"/>
    <n v="2"/>
    <n v="2"/>
    <x v="0"/>
    <n v="1"/>
    <x v="1"/>
    <n v="9714"/>
    <n v="5323"/>
    <n v="1"/>
    <s v="Y"/>
    <x v="1"/>
    <n v="11"/>
    <n v="3"/>
    <n v="4"/>
    <n v="80"/>
    <n v="1"/>
    <n v="10"/>
    <n v="4"/>
    <x v="1"/>
    <n v="10"/>
    <n v="8"/>
    <n v="6"/>
    <n v="7"/>
    <x v="1"/>
    <x v="1"/>
  </r>
  <r>
    <n v="38"/>
    <x v="1"/>
    <x v="1"/>
    <n v="888"/>
    <x v="2"/>
    <n v="10"/>
    <n v="4"/>
    <s v="Human Resources"/>
    <n v="1"/>
    <n v="1563"/>
    <n v="3"/>
    <s v="Male"/>
    <n v="71"/>
    <n v="3"/>
    <n v="2"/>
    <x v="8"/>
    <n v="3"/>
    <x v="1"/>
    <n v="6077"/>
    <n v="14814"/>
    <n v="3"/>
    <s v="Y"/>
    <x v="1"/>
    <n v="11"/>
    <n v="3"/>
    <n v="3"/>
    <n v="80"/>
    <n v="0"/>
    <n v="10"/>
    <n v="2"/>
    <x v="1"/>
    <n v="6"/>
    <n v="3"/>
    <n v="1"/>
    <n v="2"/>
    <x v="0"/>
    <x v="1"/>
  </r>
  <r>
    <n v="35"/>
    <x v="1"/>
    <x v="0"/>
    <n v="992"/>
    <x v="1"/>
    <n v="1"/>
    <n v="3"/>
    <s v="Medical"/>
    <n v="1"/>
    <n v="1564"/>
    <n v="4"/>
    <s v="Male"/>
    <n v="68"/>
    <n v="2"/>
    <n v="1"/>
    <x v="2"/>
    <n v="1"/>
    <x v="0"/>
    <n v="2450"/>
    <n v="21731"/>
    <n v="1"/>
    <s v="Y"/>
    <x v="1"/>
    <n v="19"/>
    <n v="3"/>
    <n v="2"/>
    <n v="80"/>
    <n v="0"/>
    <n v="3"/>
    <n v="3"/>
    <x v="1"/>
    <n v="3"/>
    <n v="0"/>
    <n v="1"/>
    <n v="2"/>
    <x v="0"/>
    <x v="1"/>
  </r>
  <r>
    <n v="30"/>
    <x v="1"/>
    <x v="0"/>
    <n v="1288"/>
    <x v="0"/>
    <n v="29"/>
    <n v="4"/>
    <s v="Technical Degree"/>
    <n v="1"/>
    <n v="1568"/>
    <n v="3"/>
    <s v="Male"/>
    <n v="33"/>
    <n v="3"/>
    <n v="3"/>
    <x v="0"/>
    <n v="2"/>
    <x v="1"/>
    <n v="9250"/>
    <n v="17799"/>
    <n v="3"/>
    <s v="Y"/>
    <x v="1"/>
    <n v="12"/>
    <n v="3"/>
    <n v="2"/>
    <n v="80"/>
    <n v="1"/>
    <n v="9"/>
    <n v="3"/>
    <x v="1"/>
    <n v="4"/>
    <n v="2"/>
    <n v="1"/>
    <n v="3"/>
    <x v="1"/>
    <x v="1"/>
  </r>
  <r>
    <n v="35"/>
    <x v="0"/>
    <x v="0"/>
    <n v="104"/>
    <x v="1"/>
    <n v="2"/>
    <n v="3"/>
    <s v="Life Sciences"/>
    <n v="1"/>
    <n v="1569"/>
    <n v="1"/>
    <s v="Female"/>
    <n v="69"/>
    <n v="3"/>
    <n v="1"/>
    <x v="2"/>
    <n v="1"/>
    <x v="2"/>
    <n v="2074"/>
    <n v="26619"/>
    <n v="1"/>
    <s v="Y"/>
    <x v="0"/>
    <n v="12"/>
    <n v="3"/>
    <n v="4"/>
    <n v="80"/>
    <n v="1"/>
    <n v="1"/>
    <n v="2"/>
    <x v="1"/>
    <n v="1"/>
    <n v="0"/>
    <n v="0"/>
    <n v="0"/>
    <x v="0"/>
    <x v="1"/>
  </r>
  <r>
    <n v="53"/>
    <x v="0"/>
    <x v="0"/>
    <n v="607"/>
    <x v="1"/>
    <n v="2"/>
    <n v="5"/>
    <s v="Technical Degree"/>
    <n v="1"/>
    <n v="1572"/>
    <n v="3"/>
    <s v="Female"/>
    <n v="78"/>
    <n v="2"/>
    <n v="3"/>
    <x v="3"/>
    <n v="4"/>
    <x v="1"/>
    <n v="10169"/>
    <n v="14618"/>
    <n v="0"/>
    <s v="Y"/>
    <x v="1"/>
    <n v="16"/>
    <n v="3"/>
    <n v="2"/>
    <n v="80"/>
    <n v="1"/>
    <n v="34"/>
    <n v="4"/>
    <x v="1"/>
    <n v="33"/>
    <n v="7"/>
    <n v="1"/>
    <n v="9"/>
    <x v="2"/>
    <x v="1"/>
  </r>
  <r>
    <n v="38"/>
    <x v="0"/>
    <x v="0"/>
    <n v="903"/>
    <x v="1"/>
    <n v="2"/>
    <n v="3"/>
    <s v="Medical"/>
    <n v="1"/>
    <n v="1573"/>
    <n v="3"/>
    <s v="Male"/>
    <n v="81"/>
    <n v="3"/>
    <n v="2"/>
    <x v="3"/>
    <n v="2"/>
    <x v="1"/>
    <n v="4855"/>
    <n v="7653"/>
    <n v="4"/>
    <s v="Y"/>
    <x v="1"/>
    <n v="11"/>
    <n v="3"/>
    <n v="1"/>
    <n v="80"/>
    <n v="2"/>
    <n v="7"/>
    <n v="2"/>
    <x v="1"/>
    <n v="5"/>
    <n v="2"/>
    <n v="1"/>
    <n v="4"/>
    <x v="0"/>
    <x v="1"/>
  </r>
  <r>
    <n v="32"/>
    <x v="1"/>
    <x v="2"/>
    <n v="1200"/>
    <x v="1"/>
    <n v="1"/>
    <n v="4"/>
    <s v="Technical Degree"/>
    <n v="1"/>
    <n v="1574"/>
    <n v="4"/>
    <s v="Male"/>
    <n v="62"/>
    <n v="3"/>
    <n v="2"/>
    <x v="1"/>
    <n v="1"/>
    <x v="1"/>
    <n v="4087"/>
    <n v="25174"/>
    <n v="4"/>
    <s v="Y"/>
    <x v="1"/>
    <n v="14"/>
    <n v="3"/>
    <n v="2"/>
    <n v="80"/>
    <n v="1"/>
    <n v="9"/>
    <n v="3"/>
    <x v="2"/>
    <n v="6"/>
    <n v="5"/>
    <n v="1"/>
    <n v="2"/>
    <x v="0"/>
    <x v="2"/>
  </r>
  <r>
    <n v="48"/>
    <x v="1"/>
    <x v="0"/>
    <n v="1108"/>
    <x v="1"/>
    <n v="15"/>
    <n v="4"/>
    <s v="Other"/>
    <n v="1"/>
    <n v="1576"/>
    <n v="3"/>
    <s v="Female"/>
    <n v="65"/>
    <n v="3"/>
    <n v="1"/>
    <x v="1"/>
    <n v="1"/>
    <x v="1"/>
    <n v="2367"/>
    <n v="16530"/>
    <n v="8"/>
    <s v="Y"/>
    <x v="1"/>
    <n v="12"/>
    <n v="3"/>
    <n v="4"/>
    <n v="80"/>
    <n v="1"/>
    <n v="10"/>
    <n v="3"/>
    <x v="2"/>
    <n v="8"/>
    <n v="2"/>
    <n v="7"/>
    <n v="6"/>
    <x v="0"/>
    <x v="2"/>
  </r>
  <r>
    <n v="34"/>
    <x v="1"/>
    <x v="0"/>
    <n v="479"/>
    <x v="1"/>
    <n v="7"/>
    <n v="4"/>
    <s v="Medical"/>
    <n v="1"/>
    <n v="1577"/>
    <n v="1"/>
    <s v="Male"/>
    <n v="35"/>
    <n v="3"/>
    <n v="1"/>
    <x v="1"/>
    <n v="4"/>
    <x v="0"/>
    <n v="2972"/>
    <n v="22061"/>
    <n v="1"/>
    <s v="Y"/>
    <x v="1"/>
    <n v="13"/>
    <n v="3"/>
    <n v="3"/>
    <n v="80"/>
    <n v="0"/>
    <n v="1"/>
    <n v="4"/>
    <x v="0"/>
    <n v="1"/>
    <n v="0"/>
    <n v="0"/>
    <n v="0"/>
    <x v="0"/>
    <x v="0"/>
  </r>
  <r>
    <n v="55"/>
    <x v="1"/>
    <x v="0"/>
    <n v="685"/>
    <x v="0"/>
    <n v="26"/>
    <n v="5"/>
    <s v="Marketing"/>
    <n v="1"/>
    <n v="1578"/>
    <n v="3"/>
    <s v="Male"/>
    <n v="60"/>
    <n v="2"/>
    <n v="5"/>
    <x v="5"/>
    <n v="4"/>
    <x v="1"/>
    <n v="19586"/>
    <n v="23037"/>
    <n v="1"/>
    <s v="Y"/>
    <x v="1"/>
    <n v="21"/>
    <n v="4"/>
    <n v="3"/>
    <n v="80"/>
    <n v="1"/>
    <n v="36"/>
    <n v="3"/>
    <x v="1"/>
    <n v="36"/>
    <n v="6"/>
    <n v="2"/>
    <n v="13"/>
    <x v="2"/>
    <x v="1"/>
  </r>
  <r>
    <n v="34"/>
    <x v="1"/>
    <x v="0"/>
    <n v="1351"/>
    <x v="1"/>
    <n v="1"/>
    <n v="4"/>
    <s v="Life Sciences"/>
    <n v="1"/>
    <n v="1580"/>
    <n v="2"/>
    <s v="Male"/>
    <n v="45"/>
    <n v="3"/>
    <n v="2"/>
    <x v="1"/>
    <n v="4"/>
    <x v="1"/>
    <n v="5484"/>
    <n v="13008"/>
    <n v="9"/>
    <s v="Y"/>
    <x v="1"/>
    <n v="17"/>
    <n v="3"/>
    <n v="2"/>
    <n v="80"/>
    <n v="1"/>
    <n v="9"/>
    <n v="3"/>
    <x v="2"/>
    <n v="2"/>
    <n v="2"/>
    <n v="2"/>
    <n v="1"/>
    <x v="0"/>
    <x v="2"/>
  </r>
  <r>
    <n v="26"/>
    <x v="1"/>
    <x v="0"/>
    <n v="474"/>
    <x v="1"/>
    <n v="3"/>
    <n v="3"/>
    <s v="Life Sciences"/>
    <n v="1"/>
    <n v="1581"/>
    <n v="1"/>
    <s v="Female"/>
    <n v="89"/>
    <n v="3"/>
    <n v="1"/>
    <x v="1"/>
    <n v="4"/>
    <x v="1"/>
    <n v="2061"/>
    <n v="11133"/>
    <n v="1"/>
    <s v="Y"/>
    <x v="1"/>
    <n v="21"/>
    <n v="4"/>
    <n v="1"/>
    <n v="80"/>
    <n v="0"/>
    <n v="1"/>
    <n v="5"/>
    <x v="1"/>
    <n v="1"/>
    <n v="0"/>
    <n v="0"/>
    <n v="0"/>
    <x v="1"/>
    <x v="1"/>
  </r>
  <r>
    <n v="38"/>
    <x v="1"/>
    <x v="0"/>
    <n v="1245"/>
    <x v="0"/>
    <n v="14"/>
    <n v="3"/>
    <s v="Life Sciences"/>
    <n v="1"/>
    <n v="1582"/>
    <n v="3"/>
    <s v="Male"/>
    <n v="80"/>
    <n v="3"/>
    <n v="2"/>
    <x v="0"/>
    <n v="2"/>
    <x v="1"/>
    <n v="9924"/>
    <n v="12355"/>
    <n v="0"/>
    <s v="Y"/>
    <x v="1"/>
    <n v="11"/>
    <n v="3"/>
    <n v="4"/>
    <n v="80"/>
    <n v="1"/>
    <n v="10"/>
    <n v="3"/>
    <x v="1"/>
    <n v="9"/>
    <n v="8"/>
    <n v="7"/>
    <n v="7"/>
    <x v="0"/>
    <x v="1"/>
  </r>
  <r>
    <n v="38"/>
    <x v="1"/>
    <x v="0"/>
    <n v="437"/>
    <x v="0"/>
    <n v="16"/>
    <n v="3"/>
    <s v="Life Sciences"/>
    <n v="1"/>
    <n v="1583"/>
    <n v="2"/>
    <s v="Female"/>
    <n v="90"/>
    <n v="3"/>
    <n v="2"/>
    <x v="0"/>
    <n v="2"/>
    <x v="0"/>
    <n v="4198"/>
    <n v="16379"/>
    <n v="2"/>
    <s v="Y"/>
    <x v="1"/>
    <n v="12"/>
    <n v="3"/>
    <n v="2"/>
    <n v="80"/>
    <n v="0"/>
    <n v="8"/>
    <n v="5"/>
    <x v="3"/>
    <n v="3"/>
    <n v="2"/>
    <n v="1"/>
    <n v="2"/>
    <x v="0"/>
    <x v="3"/>
  </r>
  <r>
    <n v="36"/>
    <x v="1"/>
    <x v="0"/>
    <n v="884"/>
    <x v="0"/>
    <n v="1"/>
    <n v="4"/>
    <s v="Life Sciences"/>
    <n v="1"/>
    <n v="1585"/>
    <n v="2"/>
    <s v="Female"/>
    <n v="73"/>
    <n v="3"/>
    <n v="2"/>
    <x v="0"/>
    <n v="3"/>
    <x v="0"/>
    <n v="6815"/>
    <n v="21447"/>
    <n v="6"/>
    <s v="Y"/>
    <x v="1"/>
    <n v="13"/>
    <n v="3"/>
    <n v="1"/>
    <n v="80"/>
    <n v="0"/>
    <n v="15"/>
    <n v="5"/>
    <x v="1"/>
    <n v="1"/>
    <n v="0"/>
    <n v="0"/>
    <n v="0"/>
    <x v="0"/>
    <x v="1"/>
  </r>
  <r>
    <n v="29"/>
    <x v="1"/>
    <x v="0"/>
    <n v="1370"/>
    <x v="1"/>
    <n v="3"/>
    <n v="1"/>
    <s v="Medical"/>
    <n v="1"/>
    <n v="1586"/>
    <n v="2"/>
    <s v="Male"/>
    <n v="87"/>
    <n v="3"/>
    <n v="1"/>
    <x v="2"/>
    <n v="1"/>
    <x v="0"/>
    <n v="4723"/>
    <n v="16213"/>
    <n v="1"/>
    <s v="Y"/>
    <x v="0"/>
    <n v="18"/>
    <n v="3"/>
    <n v="4"/>
    <n v="80"/>
    <n v="0"/>
    <n v="10"/>
    <n v="3"/>
    <x v="1"/>
    <n v="10"/>
    <n v="9"/>
    <n v="1"/>
    <n v="5"/>
    <x v="1"/>
    <x v="1"/>
  </r>
  <r>
    <n v="35"/>
    <x v="1"/>
    <x v="0"/>
    <n v="670"/>
    <x v="1"/>
    <n v="10"/>
    <n v="4"/>
    <s v="Medical"/>
    <n v="1"/>
    <n v="1587"/>
    <n v="1"/>
    <s v="Female"/>
    <n v="51"/>
    <n v="3"/>
    <n v="2"/>
    <x v="4"/>
    <n v="3"/>
    <x v="0"/>
    <n v="6142"/>
    <n v="4223"/>
    <n v="3"/>
    <s v="Y"/>
    <x v="0"/>
    <n v="16"/>
    <n v="3"/>
    <n v="3"/>
    <n v="80"/>
    <n v="0"/>
    <n v="10"/>
    <n v="4"/>
    <x v="1"/>
    <n v="5"/>
    <n v="2"/>
    <n v="0"/>
    <n v="4"/>
    <x v="0"/>
    <x v="1"/>
  </r>
  <r>
    <n v="39"/>
    <x v="1"/>
    <x v="0"/>
    <n v="1462"/>
    <x v="0"/>
    <n v="6"/>
    <n v="3"/>
    <s v="Medical"/>
    <n v="1"/>
    <n v="1588"/>
    <n v="4"/>
    <s v="Male"/>
    <n v="38"/>
    <n v="4"/>
    <n v="3"/>
    <x v="0"/>
    <n v="3"/>
    <x v="1"/>
    <n v="8237"/>
    <n v="4658"/>
    <n v="2"/>
    <s v="Y"/>
    <x v="1"/>
    <n v="11"/>
    <n v="3"/>
    <n v="1"/>
    <n v="80"/>
    <n v="1"/>
    <n v="11"/>
    <n v="3"/>
    <x v="1"/>
    <n v="7"/>
    <n v="6"/>
    <n v="7"/>
    <n v="6"/>
    <x v="0"/>
    <x v="1"/>
  </r>
  <r>
    <n v="29"/>
    <x v="1"/>
    <x v="1"/>
    <n v="995"/>
    <x v="1"/>
    <n v="2"/>
    <n v="1"/>
    <s v="Life Sciences"/>
    <n v="1"/>
    <n v="1590"/>
    <n v="1"/>
    <s v="Male"/>
    <n v="87"/>
    <n v="3"/>
    <n v="2"/>
    <x v="4"/>
    <n v="4"/>
    <x v="2"/>
    <n v="8853"/>
    <n v="24483"/>
    <n v="1"/>
    <s v="Y"/>
    <x v="1"/>
    <n v="19"/>
    <n v="3"/>
    <n v="4"/>
    <n v="80"/>
    <n v="1"/>
    <n v="6"/>
    <n v="0"/>
    <x v="3"/>
    <n v="6"/>
    <n v="4"/>
    <n v="1"/>
    <n v="3"/>
    <x v="1"/>
    <x v="3"/>
  </r>
  <r>
    <n v="50"/>
    <x v="1"/>
    <x v="0"/>
    <n v="264"/>
    <x v="0"/>
    <n v="9"/>
    <n v="3"/>
    <s v="Marketing"/>
    <n v="1"/>
    <n v="1591"/>
    <n v="3"/>
    <s v="Male"/>
    <n v="59"/>
    <n v="3"/>
    <n v="5"/>
    <x v="5"/>
    <n v="3"/>
    <x v="1"/>
    <n v="19331"/>
    <n v="19519"/>
    <n v="4"/>
    <s v="Y"/>
    <x v="0"/>
    <n v="16"/>
    <n v="3"/>
    <n v="3"/>
    <n v="80"/>
    <n v="1"/>
    <n v="27"/>
    <n v="2"/>
    <x v="1"/>
    <n v="1"/>
    <n v="0"/>
    <n v="0"/>
    <n v="0"/>
    <x v="0"/>
    <x v="1"/>
  </r>
  <r>
    <n v="23"/>
    <x v="1"/>
    <x v="0"/>
    <n v="977"/>
    <x v="1"/>
    <n v="10"/>
    <n v="3"/>
    <s v="Technical Degree"/>
    <n v="1"/>
    <n v="1592"/>
    <n v="4"/>
    <s v="Male"/>
    <n v="45"/>
    <n v="4"/>
    <n v="1"/>
    <x v="1"/>
    <n v="3"/>
    <x v="1"/>
    <n v="2073"/>
    <n v="12826"/>
    <n v="2"/>
    <s v="Y"/>
    <x v="1"/>
    <n v="16"/>
    <n v="3"/>
    <n v="4"/>
    <n v="80"/>
    <n v="1"/>
    <n v="4"/>
    <n v="2"/>
    <x v="1"/>
    <n v="2"/>
    <n v="2"/>
    <n v="2"/>
    <n v="2"/>
    <x v="1"/>
    <x v="1"/>
  </r>
  <r>
    <n v="36"/>
    <x v="1"/>
    <x v="1"/>
    <n v="1302"/>
    <x v="1"/>
    <n v="6"/>
    <n v="4"/>
    <s v="Life Sciences"/>
    <n v="1"/>
    <n v="1594"/>
    <n v="1"/>
    <s v="Male"/>
    <n v="80"/>
    <n v="4"/>
    <n v="2"/>
    <x v="2"/>
    <n v="1"/>
    <x v="1"/>
    <n v="5562"/>
    <n v="19711"/>
    <n v="3"/>
    <s v="Y"/>
    <x v="0"/>
    <n v="13"/>
    <n v="3"/>
    <n v="4"/>
    <n v="80"/>
    <n v="1"/>
    <n v="9"/>
    <n v="3"/>
    <x v="1"/>
    <n v="3"/>
    <n v="2"/>
    <n v="0"/>
    <n v="2"/>
    <x v="0"/>
    <x v="1"/>
  </r>
  <r>
    <n v="42"/>
    <x v="1"/>
    <x v="0"/>
    <n v="1059"/>
    <x v="1"/>
    <n v="9"/>
    <n v="2"/>
    <s v="Other"/>
    <n v="1"/>
    <n v="1595"/>
    <n v="4"/>
    <s v="Male"/>
    <n v="93"/>
    <n v="2"/>
    <n v="5"/>
    <x v="5"/>
    <n v="4"/>
    <x v="0"/>
    <n v="19613"/>
    <n v="26362"/>
    <n v="8"/>
    <s v="Y"/>
    <x v="1"/>
    <n v="22"/>
    <n v="4"/>
    <n v="4"/>
    <n v="80"/>
    <n v="0"/>
    <n v="24"/>
    <n v="2"/>
    <x v="1"/>
    <n v="1"/>
    <n v="0"/>
    <n v="0"/>
    <n v="1"/>
    <x v="0"/>
    <x v="1"/>
  </r>
  <r>
    <n v="35"/>
    <x v="1"/>
    <x v="0"/>
    <n v="750"/>
    <x v="1"/>
    <n v="28"/>
    <n v="3"/>
    <s v="Life Sciences"/>
    <n v="1"/>
    <n v="1596"/>
    <n v="2"/>
    <s v="Male"/>
    <n v="46"/>
    <n v="4"/>
    <n v="2"/>
    <x v="2"/>
    <n v="3"/>
    <x v="1"/>
    <n v="3407"/>
    <n v="25348"/>
    <n v="1"/>
    <s v="Y"/>
    <x v="1"/>
    <n v="17"/>
    <n v="3"/>
    <n v="4"/>
    <n v="80"/>
    <n v="2"/>
    <n v="10"/>
    <n v="3"/>
    <x v="2"/>
    <n v="10"/>
    <n v="9"/>
    <n v="6"/>
    <n v="8"/>
    <x v="0"/>
    <x v="2"/>
  </r>
  <r>
    <n v="34"/>
    <x v="1"/>
    <x v="1"/>
    <n v="653"/>
    <x v="1"/>
    <n v="10"/>
    <n v="4"/>
    <s v="Technical Degree"/>
    <n v="1"/>
    <n v="1597"/>
    <n v="4"/>
    <s v="Male"/>
    <n v="92"/>
    <n v="2"/>
    <n v="2"/>
    <x v="4"/>
    <n v="3"/>
    <x v="1"/>
    <n v="5063"/>
    <n v="15332"/>
    <n v="1"/>
    <s v="Y"/>
    <x v="1"/>
    <n v="14"/>
    <n v="3"/>
    <n v="2"/>
    <n v="80"/>
    <n v="1"/>
    <n v="8"/>
    <n v="3"/>
    <x v="2"/>
    <n v="8"/>
    <n v="2"/>
    <n v="7"/>
    <n v="7"/>
    <x v="0"/>
    <x v="2"/>
  </r>
  <r>
    <n v="40"/>
    <x v="1"/>
    <x v="0"/>
    <n v="118"/>
    <x v="0"/>
    <n v="14"/>
    <n v="2"/>
    <s v="Life Sciences"/>
    <n v="1"/>
    <n v="1598"/>
    <n v="4"/>
    <s v="Female"/>
    <n v="84"/>
    <n v="3"/>
    <n v="2"/>
    <x v="0"/>
    <n v="1"/>
    <x v="1"/>
    <n v="4639"/>
    <n v="11262"/>
    <n v="1"/>
    <s v="Y"/>
    <x v="1"/>
    <n v="15"/>
    <n v="3"/>
    <n v="3"/>
    <n v="80"/>
    <n v="1"/>
    <n v="5"/>
    <n v="2"/>
    <x v="1"/>
    <n v="5"/>
    <n v="4"/>
    <n v="1"/>
    <n v="2"/>
    <x v="0"/>
    <x v="1"/>
  </r>
  <r>
    <n v="43"/>
    <x v="1"/>
    <x v="0"/>
    <n v="990"/>
    <x v="1"/>
    <n v="27"/>
    <n v="3"/>
    <s v="Technical Degree"/>
    <n v="1"/>
    <n v="1599"/>
    <n v="4"/>
    <s v="Male"/>
    <n v="87"/>
    <n v="4"/>
    <n v="1"/>
    <x v="2"/>
    <n v="2"/>
    <x v="2"/>
    <n v="4876"/>
    <n v="5855"/>
    <n v="5"/>
    <s v="Y"/>
    <x v="1"/>
    <n v="12"/>
    <n v="3"/>
    <n v="3"/>
    <n v="80"/>
    <n v="1"/>
    <n v="8"/>
    <n v="0"/>
    <x v="1"/>
    <n v="6"/>
    <n v="4"/>
    <n v="0"/>
    <n v="2"/>
    <x v="0"/>
    <x v="1"/>
  </r>
  <r>
    <n v="35"/>
    <x v="1"/>
    <x v="0"/>
    <n v="1349"/>
    <x v="1"/>
    <n v="7"/>
    <n v="2"/>
    <s v="Life Sciences"/>
    <n v="1"/>
    <n v="1601"/>
    <n v="3"/>
    <s v="Male"/>
    <n v="63"/>
    <n v="2"/>
    <n v="1"/>
    <x v="2"/>
    <n v="4"/>
    <x v="1"/>
    <n v="2690"/>
    <n v="7713"/>
    <n v="1"/>
    <s v="Y"/>
    <x v="1"/>
    <n v="18"/>
    <n v="3"/>
    <n v="4"/>
    <n v="80"/>
    <n v="1"/>
    <n v="1"/>
    <n v="5"/>
    <x v="2"/>
    <n v="1"/>
    <n v="0"/>
    <n v="0"/>
    <n v="1"/>
    <x v="0"/>
    <x v="2"/>
  </r>
  <r>
    <n v="46"/>
    <x v="1"/>
    <x v="0"/>
    <n v="563"/>
    <x v="0"/>
    <n v="1"/>
    <n v="4"/>
    <s v="Life Sciences"/>
    <n v="1"/>
    <n v="1602"/>
    <n v="4"/>
    <s v="Male"/>
    <n v="56"/>
    <n v="4"/>
    <n v="4"/>
    <x v="5"/>
    <n v="1"/>
    <x v="0"/>
    <n v="17567"/>
    <n v="3156"/>
    <n v="1"/>
    <s v="Y"/>
    <x v="1"/>
    <n v="15"/>
    <n v="3"/>
    <n v="2"/>
    <n v="80"/>
    <n v="0"/>
    <n v="27"/>
    <n v="5"/>
    <x v="0"/>
    <n v="26"/>
    <n v="0"/>
    <n v="0"/>
    <n v="12"/>
    <x v="0"/>
    <x v="0"/>
  </r>
  <r>
    <n v="28"/>
    <x v="0"/>
    <x v="0"/>
    <n v="329"/>
    <x v="1"/>
    <n v="24"/>
    <n v="3"/>
    <s v="Medical"/>
    <n v="1"/>
    <n v="1604"/>
    <n v="3"/>
    <s v="Male"/>
    <n v="51"/>
    <n v="3"/>
    <n v="1"/>
    <x v="2"/>
    <n v="2"/>
    <x v="1"/>
    <n v="2408"/>
    <n v="7324"/>
    <n v="1"/>
    <s v="Y"/>
    <x v="0"/>
    <n v="17"/>
    <n v="3"/>
    <n v="3"/>
    <n v="80"/>
    <n v="3"/>
    <n v="1"/>
    <n v="3"/>
    <x v="1"/>
    <n v="1"/>
    <n v="1"/>
    <n v="0"/>
    <n v="0"/>
    <x v="1"/>
    <x v="1"/>
  </r>
  <r>
    <n v="22"/>
    <x v="1"/>
    <x v="2"/>
    <n v="457"/>
    <x v="1"/>
    <n v="26"/>
    <n v="2"/>
    <s v="Other"/>
    <n v="1"/>
    <n v="1605"/>
    <n v="2"/>
    <s v="Female"/>
    <n v="85"/>
    <n v="2"/>
    <n v="1"/>
    <x v="1"/>
    <n v="3"/>
    <x v="1"/>
    <n v="2814"/>
    <n v="10293"/>
    <n v="1"/>
    <s v="Y"/>
    <x v="0"/>
    <n v="14"/>
    <n v="3"/>
    <n v="2"/>
    <n v="80"/>
    <n v="0"/>
    <n v="4"/>
    <n v="2"/>
    <x v="2"/>
    <n v="4"/>
    <n v="2"/>
    <n v="1"/>
    <n v="3"/>
    <x v="1"/>
    <x v="2"/>
  </r>
  <r>
    <n v="50"/>
    <x v="1"/>
    <x v="1"/>
    <n v="1234"/>
    <x v="1"/>
    <n v="20"/>
    <n v="5"/>
    <s v="Medical"/>
    <n v="1"/>
    <n v="1606"/>
    <n v="2"/>
    <s v="Male"/>
    <n v="41"/>
    <n v="3"/>
    <n v="4"/>
    <x v="4"/>
    <n v="3"/>
    <x v="1"/>
    <n v="11245"/>
    <n v="20689"/>
    <n v="2"/>
    <s v="Y"/>
    <x v="0"/>
    <n v="15"/>
    <n v="3"/>
    <n v="3"/>
    <n v="80"/>
    <n v="1"/>
    <n v="32"/>
    <n v="3"/>
    <x v="1"/>
    <n v="30"/>
    <n v="8"/>
    <n v="12"/>
    <n v="13"/>
    <x v="0"/>
    <x v="1"/>
  </r>
  <r>
    <n v="32"/>
    <x v="1"/>
    <x v="0"/>
    <n v="634"/>
    <x v="1"/>
    <n v="5"/>
    <n v="4"/>
    <s v="Other"/>
    <n v="1"/>
    <n v="1607"/>
    <n v="2"/>
    <s v="Female"/>
    <n v="35"/>
    <n v="4"/>
    <n v="1"/>
    <x v="1"/>
    <n v="4"/>
    <x v="1"/>
    <n v="3312"/>
    <n v="18783"/>
    <n v="3"/>
    <s v="Y"/>
    <x v="1"/>
    <n v="17"/>
    <n v="3"/>
    <n v="4"/>
    <n v="80"/>
    <n v="2"/>
    <n v="6"/>
    <n v="3"/>
    <x v="1"/>
    <n v="3"/>
    <n v="2"/>
    <n v="0"/>
    <n v="2"/>
    <x v="0"/>
    <x v="1"/>
  </r>
  <r>
    <n v="44"/>
    <x v="1"/>
    <x v="0"/>
    <n v="1313"/>
    <x v="1"/>
    <n v="7"/>
    <n v="3"/>
    <s v="Medical"/>
    <n v="1"/>
    <n v="1608"/>
    <n v="2"/>
    <s v="Female"/>
    <n v="31"/>
    <n v="3"/>
    <n v="5"/>
    <x v="7"/>
    <n v="4"/>
    <x v="2"/>
    <n v="19049"/>
    <n v="3549"/>
    <n v="0"/>
    <s v="Y"/>
    <x v="0"/>
    <n v="14"/>
    <n v="3"/>
    <n v="4"/>
    <n v="80"/>
    <n v="1"/>
    <n v="23"/>
    <n v="4"/>
    <x v="2"/>
    <n v="22"/>
    <n v="7"/>
    <n v="1"/>
    <n v="10"/>
    <x v="0"/>
    <x v="2"/>
  </r>
  <r>
    <n v="30"/>
    <x v="1"/>
    <x v="0"/>
    <n v="241"/>
    <x v="1"/>
    <n v="7"/>
    <n v="3"/>
    <s v="Medical"/>
    <n v="1"/>
    <n v="1609"/>
    <n v="2"/>
    <s v="Male"/>
    <n v="48"/>
    <n v="2"/>
    <n v="1"/>
    <x v="1"/>
    <n v="2"/>
    <x v="1"/>
    <n v="2141"/>
    <n v="5348"/>
    <n v="1"/>
    <s v="Y"/>
    <x v="1"/>
    <n v="12"/>
    <n v="3"/>
    <n v="2"/>
    <n v="80"/>
    <n v="1"/>
    <n v="6"/>
    <n v="3"/>
    <x v="2"/>
    <n v="6"/>
    <n v="4"/>
    <n v="1"/>
    <n v="1"/>
    <x v="1"/>
    <x v="2"/>
  </r>
  <r>
    <n v="45"/>
    <x v="1"/>
    <x v="0"/>
    <n v="1015"/>
    <x v="1"/>
    <n v="5"/>
    <n v="5"/>
    <s v="Medical"/>
    <n v="1"/>
    <n v="1611"/>
    <n v="3"/>
    <s v="Female"/>
    <n v="50"/>
    <n v="1"/>
    <n v="2"/>
    <x v="2"/>
    <n v="1"/>
    <x v="0"/>
    <n v="5769"/>
    <n v="23447"/>
    <n v="1"/>
    <s v="Y"/>
    <x v="0"/>
    <n v="14"/>
    <n v="3"/>
    <n v="1"/>
    <n v="80"/>
    <n v="0"/>
    <n v="10"/>
    <n v="3"/>
    <x v="1"/>
    <n v="10"/>
    <n v="7"/>
    <n v="1"/>
    <n v="4"/>
    <x v="0"/>
    <x v="1"/>
  </r>
  <r>
    <n v="45"/>
    <x v="1"/>
    <x v="2"/>
    <n v="336"/>
    <x v="0"/>
    <n v="26"/>
    <n v="3"/>
    <s v="Marketing"/>
    <n v="1"/>
    <n v="1612"/>
    <n v="1"/>
    <s v="Male"/>
    <n v="52"/>
    <n v="2"/>
    <n v="2"/>
    <x v="0"/>
    <n v="1"/>
    <x v="1"/>
    <n v="4385"/>
    <n v="24162"/>
    <n v="1"/>
    <s v="Y"/>
    <x v="1"/>
    <n v="15"/>
    <n v="3"/>
    <n v="1"/>
    <n v="80"/>
    <n v="1"/>
    <n v="10"/>
    <n v="2"/>
    <x v="1"/>
    <n v="10"/>
    <n v="7"/>
    <n v="4"/>
    <n v="5"/>
    <x v="0"/>
    <x v="1"/>
  </r>
  <r>
    <n v="31"/>
    <x v="1"/>
    <x v="1"/>
    <n v="715"/>
    <x v="0"/>
    <n v="2"/>
    <n v="4"/>
    <s v="Other"/>
    <n v="1"/>
    <n v="1613"/>
    <n v="4"/>
    <s v="Male"/>
    <n v="54"/>
    <n v="3"/>
    <n v="2"/>
    <x v="0"/>
    <n v="1"/>
    <x v="0"/>
    <n v="5332"/>
    <n v="21602"/>
    <n v="7"/>
    <s v="Y"/>
    <x v="1"/>
    <n v="13"/>
    <n v="3"/>
    <n v="4"/>
    <n v="80"/>
    <n v="0"/>
    <n v="10"/>
    <n v="3"/>
    <x v="1"/>
    <n v="5"/>
    <n v="2"/>
    <n v="0"/>
    <n v="3"/>
    <x v="0"/>
    <x v="1"/>
  </r>
  <r>
    <n v="36"/>
    <x v="1"/>
    <x v="0"/>
    <n v="559"/>
    <x v="1"/>
    <n v="12"/>
    <n v="4"/>
    <s v="Life Sciences"/>
    <n v="1"/>
    <n v="1614"/>
    <n v="3"/>
    <s v="Female"/>
    <n v="76"/>
    <n v="3"/>
    <n v="2"/>
    <x v="3"/>
    <n v="3"/>
    <x v="1"/>
    <n v="4663"/>
    <n v="12421"/>
    <n v="9"/>
    <s v="Y"/>
    <x v="0"/>
    <n v="12"/>
    <n v="3"/>
    <n v="2"/>
    <n v="80"/>
    <n v="2"/>
    <n v="7"/>
    <n v="2"/>
    <x v="1"/>
    <n v="3"/>
    <n v="2"/>
    <n v="1"/>
    <n v="1"/>
    <x v="0"/>
    <x v="1"/>
  </r>
  <r>
    <n v="34"/>
    <x v="1"/>
    <x v="1"/>
    <n v="426"/>
    <x v="1"/>
    <n v="10"/>
    <n v="4"/>
    <s v="Life Sciences"/>
    <n v="1"/>
    <n v="1615"/>
    <n v="3"/>
    <s v="Male"/>
    <n v="42"/>
    <n v="4"/>
    <n v="2"/>
    <x v="3"/>
    <n v="4"/>
    <x v="2"/>
    <n v="4724"/>
    <n v="17000"/>
    <n v="1"/>
    <s v="Y"/>
    <x v="1"/>
    <n v="13"/>
    <n v="3"/>
    <n v="1"/>
    <n v="80"/>
    <n v="1"/>
    <n v="9"/>
    <n v="3"/>
    <x v="1"/>
    <n v="9"/>
    <n v="7"/>
    <n v="7"/>
    <n v="2"/>
    <x v="0"/>
    <x v="1"/>
  </r>
  <r>
    <n v="49"/>
    <x v="1"/>
    <x v="0"/>
    <n v="722"/>
    <x v="1"/>
    <n v="25"/>
    <n v="4"/>
    <s v="Life Sciences"/>
    <n v="1"/>
    <n v="1617"/>
    <n v="3"/>
    <s v="Female"/>
    <n v="84"/>
    <n v="3"/>
    <n v="1"/>
    <x v="2"/>
    <n v="1"/>
    <x v="1"/>
    <n v="3211"/>
    <n v="22102"/>
    <n v="1"/>
    <s v="Y"/>
    <x v="1"/>
    <n v="14"/>
    <n v="3"/>
    <n v="4"/>
    <n v="80"/>
    <n v="1"/>
    <n v="10"/>
    <n v="3"/>
    <x v="2"/>
    <n v="9"/>
    <n v="6"/>
    <n v="1"/>
    <n v="4"/>
    <x v="0"/>
    <x v="2"/>
  </r>
  <r>
    <n v="39"/>
    <x v="1"/>
    <x v="0"/>
    <n v="1387"/>
    <x v="1"/>
    <n v="10"/>
    <n v="5"/>
    <s v="Medical"/>
    <n v="1"/>
    <n v="1618"/>
    <n v="2"/>
    <s v="Male"/>
    <n v="76"/>
    <n v="3"/>
    <n v="2"/>
    <x v="3"/>
    <n v="1"/>
    <x v="1"/>
    <n v="5377"/>
    <n v="3835"/>
    <n v="2"/>
    <s v="Y"/>
    <x v="1"/>
    <n v="13"/>
    <n v="3"/>
    <n v="4"/>
    <n v="80"/>
    <n v="3"/>
    <n v="10"/>
    <n v="3"/>
    <x v="1"/>
    <n v="7"/>
    <n v="7"/>
    <n v="7"/>
    <n v="7"/>
    <x v="0"/>
    <x v="1"/>
  </r>
  <r>
    <n v="27"/>
    <x v="1"/>
    <x v="0"/>
    <n v="1302"/>
    <x v="1"/>
    <n v="19"/>
    <n v="3"/>
    <s v="Other"/>
    <n v="1"/>
    <n v="1619"/>
    <n v="4"/>
    <s v="Male"/>
    <n v="67"/>
    <n v="2"/>
    <n v="1"/>
    <x v="2"/>
    <n v="1"/>
    <x v="2"/>
    <n v="4066"/>
    <n v="16290"/>
    <n v="1"/>
    <s v="Y"/>
    <x v="1"/>
    <n v="11"/>
    <n v="3"/>
    <n v="1"/>
    <n v="80"/>
    <n v="2"/>
    <n v="7"/>
    <n v="3"/>
    <x v="1"/>
    <n v="7"/>
    <n v="7"/>
    <n v="0"/>
    <n v="7"/>
    <x v="1"/>
    <x v="1"/>
  </r>
  <r>
    <n v="35"/>
    <x v="1"/>
    <x v="0"/>
    <n v="819"/>
    <x v="1"/>
    <n v="18"/>
    <n v="5"/>
    <s v="Life Sciences"/>
    <n v="1"/>
    <n v="1621"/>
    <n v="2"/>
    <s v="Male"/>
    <n v="48"/>
    <n v="4"/>
    <n v="2"/>
    <x v="1"/>
    <n v="1"/>
    <x v="1"/>
    <n v="5208"/>
    <n v="26312"/>
    <n v="1"/>
    <s v="Y"/>
    <x v="1"/>
    <n v="11"/>
    <n v="3"/>
    <n v="4"/>
    <n v="80"/>
    <n v="0"/>
    <n v="16"/>
    <n v="2"/>
    <x v="1"/>
    <n v="16"/>
    <n v="15"/>
    <n v="1"/>
    <n v="10"/>
    <x v="0"/>
    <x v="1"/>
  </r>
  <r>
    <n v="28"/>
    <x v="1"/>
    <x v="0"/>
    <n v="580"/>
    <x v="1"/>
    <n v="27"/>
    <n v="3"/>
    <s v="Medical"/>
    <n v="1"/>
    <n v="1622"/>
    <n v="2"/>
    <s v="Female"/>
    <n v="39"/>
    <n v="1"/>
    <n v="2"/>
    <x v="3"/>
    <n v="1"/>
    <x v="2"/>
    <n v="4877"/>
    <n v="20460"/>
    <n v="0"/>
    <s v="Y"/>
    <x v="1"/>
    <n v="21"/>
    <n v="4"/>
    <n v="2"/>
    <n v="80"/>
    <n v="1"/>
    <n v="6"/>
    <n v="5"/>
    <x v="2"/>
    <n v="5"/>
    <n v="3"/>
    <n v="0"/>
    <n v="0"/>
    <x v="1"/>
    <x v="2"/>
  </r>
  <r>
    <n v="21"/>
    <x v="1"/>
    <x v="0"/>
    <n v="546"/>
    <x v="1"/>
    <n v="5"/>
    <n v="1"/>
    <s v="Medical"/>
    <n v="1"/>
    <n v="1623"/>
    <n v="3"/>
    <s v="Male"/>
    <n v="97"/>
    <n v="3"/>
    <n v="1"/>
    <x v="1"/>
    <n v="4"/>
    <x v="0"/>
    <n v="3117"/>
    <n v="26009"/>
    <n v="1"/>
    <s v="Y"/>
    <x v="1"/>
    <n v="18"/>
    <n v="3"/>
    <n v="3"/>
    <n v="80"/>
    <n v="0"/>
    <n v="3"/>
    <n v="2"/>
    <x v="1"/>
    <n v="2"/>
    <n v="2"/>
    <n v="2"/>
    <n v="2"/>
    <x v="1"/>
    <x v="1"/>
  </r>
  <r>
    <n v="18"/>
    <x v="0"/>
    <x v="1"/>
    <n v="544"/>
    <x v="0"/>
    <n v="3"/>
    <n v="2"/>
    <s v="Medical"/>
    <n v="1"/>
    <n v="1624"/>
    <n v="2"/>
    <s v="Female"/>
    <n v="70"/>
    <n v="3"/>
    <n v="1"/>
    <x v="6"/>
    <n v="4"/>
    <x v="0"/>
    <n v="1569"/>
    <n v="18420"/>
    <n v="1"/>
    <s v="Y"/>
    <x v="0"/>
    <n v="12"/>
    <n v="3"/>
    <n v="3"/>
    <n v="80"/>
    <n v="0"/>
    <n v="0"/>
    <n v="2"/>
    <x v="3"/>
    <n v="0"/>
    <n v="0"/>
    <n v="0"/>
    <n v="0"/>
    <x v="1"/>
    <x v="3"/>
  </r>
  <r>
    <n v="47"/>
    <x v="1"/>
    <x v="0"/>
    <n v="1176"/>
    <x v="2"/>
    <n v="26"/>
    <n v="4"/>
    <s v="Life Sciences"/>
    <n v="1"/>
    <n v="1625"/>
    <n v="4"/>
    <s v="Female"/>
    <n v="98"/>
    <n v="3"/>
    <n v="5"/>
    <x v="5"/>
    <n v="3"/>
    <x v="1"/>
    <n v="19658"/>
    <n v="5220"/>
    <n v="3"/>
    <s v="Y"/>
    <x v="1"/>
    <n v="11"/>
    <n v="3"/>
    <n v="3"/>
    <n v="80"/>
    <n v="1"/>
    <n v="27"/>
    <n v="2"/>
    <x v="1"/>
    <n v="5"/>
    <n v="2"/>
    <n v="1"/>
    <n v="0"/>
    <x v="0"/>
    <x v="1"/>
  </r>
  <r>
    <n v="39"/>
    <x v="1"/>
    <x v="0"/>
    <n v="170"/>
    <x v="1"/>
    <n v="3"/>
    <n v="2"/>
    <s v="Medical"/>
    <n v="1"/>
    <n v="1627"/>
    <n v="3"/>
    <s v="Male"/>
    <n v="76"/>
    <n v="2"/>
    <n v="2"/>
    <x v="2"/>
    <n v="3"/>
    <x v="2"/>
    <n v="3069"/>
    <n v="10302"/>
    <n v="0"/>
    <s v="Y"/>
    <x v="1"/>
    <n v="15"/>
    <n v="3"/>
    <n v="4"/>
    <n v="80"/>
    <n v="1"/>
    <n v="11"/>
    <n v="3"/>
    <x v="1"/>
    <n v="10"/>
    <n v="8"/>
    <n v="0"/>
    <n v="7"/>
    <x v="0"/>
    <x v="1"/>
  </r>
  <r>
    <n v="40"/>
    <x v="1"/>
    <x v="0"/>
    <n v="884"/>
    <x v="1"/>
    <n v="15"/>
    <n v="3"/>
    <s v="Life Sciences"/>
    <n v="1"/>
    <n v="1628"/>
    <n v="1"/>
    <s v="Female"/>
    <n v="80"/>
    <n v="2"/>
    <n v="3"/>
    <x v="3"/>
    <n v="3"/>
    <x v="1"/>
    <n v="10435"/>
    <n v="25800"/>
    <n v="1"/>
    <s v="Y"/>
    <x v="1"/>
    <n v="13"/>
    <n v="3"/>
    <n v="4"/>
    <n v="80"/>
    <n v="2"/>
    <n v="18"/>
    <n v="2"/>
    <x v="1"/>
    <n v="18"/>
    <n v="15"/>
    <n v="14"/>
    <n v="12"/>
    <x v="0"/>
    <x v="1"/>
  </r>
  <r>
    <n v="35"/>
    <x v="1"/>
    <x v="2"/>
    <n v="208"/>
    <x v="1"/>
    <n v="8"/>
    <n v="4"/>
    <s v="Life Sciences"/>
    <n v="1"/>
    <n v="1630"/>
    <n v="3"/>
    <s v="Female"/>
    <n v="52"/>
    <n v="3"/>
    <n v="2"/>
    <x v="4"/>
    <n v="3"/>
    <x v="1"/>
    <n v="4148"/>
    <n v="12250"/>
    <n v="1"/>
    <s v="Y"/>
    <x v="1"/>
    <n v="12"/>
    <n v="3"/>
    <n v="4"/>
    <n v="80"/>
    <n v="1"/>
    <n v="15"/>
    <n v="5"/>
    <x v="1"/>
    <n v="14"/>
    <n v="11"/>
    <n v="2"/>
    <n v="9"/>
    <x v="0"/>
    <x v="1"/>
  </r>
  <r>
    <n v="37"/>
    <x v="1"/>
    <x v="0"/>
    <n v="671"/>
    <x v="1"/>
    <n v="19"/>
    <n v="3"/>
    <s v="Life Sciences"/>
    <n v="1"/>
    <n v="1631"/>
    <n v="3"/>
    <s v="Male"/>
    <n v="85"/>
    <n v="3"/>
    <n v="2"/>
    <x v="3"/>
    <n v="3"/>
    <x v="1"/>
    <n v="5768"/>
    <n v="26493"/>
    <n v="3"/>
    <s v="Y"/>
    <x v="1"/>
    <n v="17"/>
    <n v="3"/>
    <n v="1"/>
    <n v="80"/>
    <n v="3"/>
    <n v="9"/>
    <n v="2"/>
    <x v="2"/>
    <n v="4"/>
    <n v="3"/>
    <n v="0"/>
    <n v="2"/>
    <x v="0"/>
    <x v="2"/>
  </r>
  <r>
    <n v="39"/>
    <x v="1"/>
    <x v="1"/>
    <n v="711"/>
    <x v="1"/>
    <n v="4"/>
    <n v="3"/>
    <s v="Medical"/>
    <n v="1"/>
    <n v="1633"/>
    <n v="1"/>
    <s v="Female"/>
    <n v="81"/>
    <n v="3"/>
    <n v="2"/>
    <x v="3"/>
    <n v="3"/>
    <x v="0"/>
    <n v="5042"/>
    <n v="3140"/>
    <n v="0"/>
    <s v="Y"/>
    <x v="1"/>
    <n v="13"/>
    <n v="3"/>
    <n v="4"/>
    <n v="80"/>
    <n v="0"/>
    <n v="10"/>
    <n v="2"/>
    <x v="0"/>
    <n v="9"/>
    <n v="2"/>
    <n v="3"/>
    <n v="8"/>
    <x v="0"/>
    <x v="0"/>
  </r>
  <r>
    <n v="45"/>
    <x v="1"/>
    <x v="0"/>
    <n v="1329"/>
    <x v="1"/>
    <n v="2"/>
    <n v="2"/>
    <s v="Other"/>
    <n v="1"/>
    <n v="1635"/>
    <n v="4"/>
    <s v="Female"/>
    <n v="59"/>
    <n v="2"/>
    <n v="2"/>
    <x v="3"/>
    <n v="4"/>
    <x v="2"/>
    <n v="5770"/>
    <n v="5388"/>
    <n v="1"/>
    <s v="Y"/>
    <x v="1"/>
    <n v="19"/>
    <n v="3"/>
    <n v="1"/>
    <n v="80"/>
    <n v="2"/>
    <n v="10"/>
    <n v="3"/>
    <x v="1"/>
    <n v="10"/>
    <n v="7"/>
    <n v="3"/>
    <n v="9"/>
    <x v="0"/>
    <x v="1"/>
  </r>
  <r>
    <n v="38"/>
    <x v="1"/>
    <x v="0"/>
    <n v="397"/>
    <x v="1"/>
    <n v="2"/>
    <n v="2"/>
    <s v="Medical"/>
    <n v="1"/>
    <n v="1638"/>
    <n v="4"/>
    <s v="Female"/>
    <n v="54"/>
    <n v="2"/>
    <n v="3"/>
    <x v="3"/>
    <n v="3"/>
    <x v="1"/>
    <n v="7756"/>
    <n v="14199"/>
    <n v="3"/>
    <s v="Y"/>
    <x v="0"/>
    <n v="19"/>
    <n v="3"/>
    <n v="4"/>
    <n v="80"/>
    <n v="1"/>
    <n v="10"/>
    <n v="6"/>
    <x v="3"/>
    <n v="5"/>
    <n v="4"/>
    <n v="0"/>
    <n v="2"/>
    <x v="0"/>
    <x v="3"/>
  </r>
  <r>
    <n v="35"/>
    <x v="0"/>
    <x v="0"/>
    <n v="737"/>
    <x v="0"/>
    <n v="10"/>
    <n v="3"/>
    <s v="Medical"/>
    <n v="1"/>
    <n v="1639"/>
    <n v="4"/>
    <s v="Male"/>
    <n v="55"/>
    <n v="2"/>
    <n v="3"/>
    <x v="0"/>
    <n v="1"/>
    <x v="1"/>
    <n v="10306"/>
    <n v="21530"/>
    <n v="9"/>
    <s v="Y"/>
    <x v="1"/>
    <n v="17"/>
    <n v="3"/>
    <n v="3"/>
    <n v="80"/>
    <n v="0"/>
    <n v="15"/>
    <n v="3"/>
    <x v="1"/>
    <n v="13"/>
    <n v="12"/>
    <n v="6"/>
    <n v="0"/>
    <x v="0"/>
    <x v="1"/>
  </r>
  <r>
    <n v="37"/>
    <x v="1"/>
    <x v="0"/>
    <n v="1470"/>
    <x v="1"/>
    <n v="10"/>
    <n v="3"/>
    <s v="Medical"/>
    <n v="1"/>
    <n v="1640"/>
    <n v="2"/>
    <s v="Female"/>
    <n v="71"/>
    <n v="3"/>
    <n v="1"/>
    <x v="1"/>
    <n v="2"/>
    <x v="1"/>
    <n v="3936"/>
    <n v="9953"/>
    <n v="1"/>
    <s v="Y"/>
    <x v="1"/>
    <n v="11"/>
    <n v="3"/>
    <n v="1"/>
    <n v="80"/>
    <n v="1"/>
    <n v="8"/>
    <n v="2"/>
    <x v="0"/>
    <n v="8"/>
    <n v="4"/>
    <n v="7"/>
    <n v="7"/>
    <x v="0"/>
    <x v="0"/>
  </r>
  <r>
    <n v="40"/>
    <x v="1"/>
    <x v="0"/>
    <n v="448"/>
    <x v="1"/>
    <n v="16"/>
    <n v="3"/>
    <s v="Life Sciences"/>
    <n v="1"/>
    <n v="1641"/>
    <n v="3"/>
    <s v="Female"/>
    <n v="84"/>
    <n v="3"/>
    <n v="3"/>
    <x v="3"/>
    <n v="4"/>
    <x v="0"/>
    <n v="7945"/>
    <n v="19948"/>
    <n v="6"/>
    <s v="Y"/>
    <x v="0"/>
    <n v="15"/>
    <n v="3"/>
    <n v="4"/>
    <n v="80"/>
    <n v="0"/>
    <n v="18"/>
    <n v="2"/>
    <x v="2"/>
    <n v="4"/>
    <n v="2"/>
    <n v="3"/>
    <n v="3"/>
    <x v="0"/>
    <x v="2"/>
  </r>
  <r>
    <n v="44"/>
    <x v="1"/>
    <x v="1"/>
    <n v="602"/>
    <x v="2"/>
    <n v="1"/>
    <n v="5"/>
    <s v="Human Resources"/>
    <n v="1"/>
    <n v="1642"/>
    <n v="1"/>
    <s v="Male"/>
    <n v="37"/>
    <n v="3"/>
    <n v="2"/>
    <x v="8"/>
    <n v="4"/>
    <x v="1"/>
    <n v="5743"/>
    <n v="10503"/>
    <n v="4"/>
    <s v="Y"/>
    <x v="0"/>
    <n v="11"/>
    <n v="3"/>
    <n v="3"/>
    <n v="80"/>
    <n v="0"/>
    <n v="14"/>
    <n v="3"/>
    <x v="1"/>
    <n v="10"/>
    <n v="7"/>
    <n v="0"/>
    <n v="2"/>
    <x v="0"/>
    <x v="1"/>
  </r>
  <r>
    <n v="48"/>
    <x v="1"/>
    <x v="1"/>
    <n v="365"/>
    <x v="1"/>
    <n v="4"/>
    <n v="5"/>
    <s v="Medical"/>
    <n v="1"/>
    <n v="1644"/>
    <n v="3"/>
    <s v="Male"/>
    <n v="89"/>
    <n v="2"/>
    <n v="4"/>
    <x v="5"/>
    <n v="4"/>
    <x v="1"/>
    <n v="15202"/>
    <n v="5602"/>
    <n v="2"/>
    <s v="Y"/>
    <x v="1"/>
    <n v="25"/>
    <n v="4"/>
    <n v="2"/>
    <n v="80"/>
    <n v="1"/>
    <n v="23"/>
    <n v="3"/>
    <x v="1"/>
    <n v="2"/>
    <n v="2"/>
    <n v="2"/>
    <n v="2"/>
    <x v="0"/>
    <x v="1"/>
  </r>
  <r>
    <n v="35"/>
    <x v="0"/>
    <x v="0"/>
    <n v="763"/>
    <x v="0"/>
    <n v="15"/>
    <n v="2"/>
    <s v="Medical"/>
    <n v="1"/>
    <n v="1645"/>
    <n v="1"/>
    <s v="Male"/>
    <n v="59"/>
    <n v="1"/>
    <n v="2"/>
    <x v="0"/>
    <n v="4"/>
    <x v="2"/>
    <n v="5440"/>
    <n v="22098"/>
    <n v="6"/>
    <s v="Y"/>
    <x v="0"/>
    <n v="14"/>
    <n v="3"/>
    <n v="4"/>
    <n v="80"/>
    <n v="2"/>
    <n v="7"/>
    <n v="2"/>
    <x v="2"/>
    <n v="2"/>
    <n v="2"/>
    <n v="2"/>
    <n v="2"/>
    <x v="0"/>
    <x v="2"/>
  </r>
  <r>
    <n v="24"/>
    <x v="1"/>
    <x v="1"/>
    <n v="567"/>
    <x v="1"/>
    <n v="2"/>
    <n v="1"/>
    <s v="Technical Degree"/>
    <n v="1"/>
    <n v="1646"/>
    <n v="1"/>
    <s v="Female"/>
    <n v="32"/>
    <n v="3"/>
    <n v="1"/>
    <x v="1"/>
    <n v="4"/>
    <x v="0"/>
    <n v="3760"/>
    <n v="17218"/>
    <n v="1"/>
    <s v="Y"/>
    <x v="0"/>
    <n v="13"/>
    <n v="3"/>
    <n v="3"/>
    <n v="80"/>
    <n v="0"/>
    <n v="6"/>
    <n v="2"/>
    <x v="1"/>
    <n v="6"/>
    <n v="3"/>
    <n v="1"/>
    <n v="3"/>
    <x v="1"/>
    <x v="1"/>
  </r>
  <r>
    <n v="27"/>
    <x v="1"/>
    <x v="0"/>
    <n v="486"/>
    <x v="1"/>
    <n v="8"/>
    <n v="3"/>
    <s v="Medical"/>
    <n v="1"/>
    <n v="1647"/>
    <n v="2"/>
    <s v="Female"/>
    <n v="86"/>
    <n v="4"/>
    <n v="1"/>
    <x v="1"/>
    <n v="3"/>
    <x v="1"/>
    <n v="3517"/>
    <n v="22490"/>
    <n v="7"/>
    <s v="Y"/>
    <x v="1"/>
    <n v="17"/>
    <n v="3"/>
    <n v="1"/>
    <n v="80"/>
    <n v="0"/>
    <n v="5"/>
    <n v="0"/>
    <x v="1"/>
    <n v="3"/>
    <n v="2"/>
    <n v="0"/>
    <n v="2"/>
    <x v="1"/>
    <x v="1"/>
  </r>
  <r>
    <n v="27"/>
    <x v="1"/>
    <x v="1"/>
    <n v="591"/>
    <x v="1"/>
    <n v="2"/>
    <n v="3"/>
    <s v="Medical"/>
    <n v="1"/>
    <n v="1648"/>
    <n v="4"/>
    <s v="Male"/>
    <n v="87"/>
    <n v="3"/>
    <n v="1"/>
    <x v="1"/>
    <n v="4"/>
    <x v="0"/>
    <n v="2580"/>
    <n v="6297"/>
    <n v="2"/>
    <s v="Y"/>
    <x v="1"/>
    <n v="13"/>
    <n v="3"/>
    <n v="3"/>
    <n v="80"/>
    <n v="0"/>
    <n v="6"/>
    <n v="0"/>
    <x v="2"/>
    <n v="4"/>
    <n v="2"/>
    <n v="1"/>
    <n v="2"/>
    <x v="1"/>
    <x v="2"/>
  </r>
  <r>
    <n v="40"/>
    <x v="0"/>
    <x v="0"/>
    <n v="1329"/>
    <x v="1"/>
    <n v="7"/>
    <n v="3"/>
    <s v="Life Sciences"/>
    <n v="1"/>
    <n v="1649"/>
    <n v="1"/>
    <s v="Male"/>
    <n v="73"/>
    <n v="3"/>
    <n v="1"/>
    <x v="2"/>
    <n v="1"/>
    <x v="0"/>
    <n v="2166"/>
    <n v="3339"/>
    <n v="3"/>
    <s v="Y"/>
    <x v="0"/>
    <n v="14"/>
    <n v="3"/>
    <n v="2"/>
    <n v="80"/>
    <n v="0"/>
    <n v="10"/>
    <n v="3"/>
    <x v="0"/>
    <n v="4"/>
    <n v="2"/>
    <n v="0"/>
    <n v="3"/>
    <x v="0"/>
    <x v="0"/>
  </r>
  <r>
    <n v="29"/>
    <x v="1"/>
    <x v="0"/>
    <n v="469"/>
    <x v="0"/>
    <n v="10"/>
    <n v="3"/>
    <s v="Medical"/>
    <n v="1"/>
    <n v="1650"/>
    <n v="3"/>
    <s v="Male"/>
    <n v="42"/>
    <n v="2"/>
    <n v="2"/>
    <x v="0"/>
    <n v="3"/>
    <x v="0"/>
    <n v="5869"/>
    <n v="23413"/>
    <n v="9"/>
    <s v="Y"/>
    <x v="1"/>
    <n v="11"/>
    <n v="3"/>
    <n v="3"/>
    <n v="80"/>
    <n v="0"/>
    <n v="8"/>
    <n v="2"/>
    <x v="1"/>
    <n v="5"/>
    <n v="2"/>
    <n v="1"/>
    <n v="4"/>
    <x v="1"/>
    <x v="1"/>
  </r>
  <r>
    <n v="36"/>
    <x v="1"/>
    <x v="0"/>
    <n v="711"/>
    <x v="1"/>
    <n v="5"/>
    <n v="4"/>
    <s v="Life Sciences"/>
    <n v="1"/>
    <n v="1651"/>
    <n v="2"/>
    <s v="Female"/>
    <n v="42"/>
    <n v="3"/>
    <n v="3"/>
    <x v="4"/>
    <n v="1"/>
    <x v="1"/>
    <n v="8008"/>
    <n v="22792"/>
    <n v="4"/>
    <s v="Y"/>
    <x v="1"/>
    <n v="12"/>
    <n v="3"/>
    <n v="3"/>
    <n v="80"/>
    <n v="2"/>
    <n v="9"/>
    <n v="6"/>
    <x v="1"/>
    <n v="3"/>
    <n v="2"/>
    <n v="0"/>
    <n v="2"/>
    <x v="0"/>
    <x v="1"/>
  </r>
  <r>
    <n v="25"/>
    <x v="1"/>
    <x v="1"/>
    <n v="772"/>
    <x v="1"/>
    <n v="2"/>
    <n v="1"/>
    <s v="Life Sciences"/>
    <n v="1"/>
    <n v="1653"/>
    <n v="4"/>
    <s v="Male"/>
    <n v="77"/>
    <n v="4"/>
    <n v="2"/>
    <x v="3"/>
    <n v="3"/>
    <x v="2"/>
    <n v="5206"/>
    <n v="4973"/>
    <n v="1"/>
    <s v="Y"/>
    <x v="1"/>
    <n v="17"/>
    <n v="3"/>
    <n v="3"/>
    <n v="80"/>
    <n v="2"/>
    <n v="7"/>
    <n v="6"/>
    <x v="1"/>
    <n v="7"/>
    <n v="7"/>
    <n v="0"/>
    <n v="7"/>
    <x v="1"/>
    <x v="1"/>
  </r>
  <r>
    <n v="39"/>
    <x v="1"/>
    <x v="0"/>
    <n v="492"/>
    <x v="1"/>
    <n v="12"/>
    <n v="3"/>
    <s v="Medical"/>
    <n v="1"/>
    <n v="1654"/>
    <n v="4"/>
    <s v="Male"/>
    <n v="66"/>
    <n v="3"/>
    <n v="2"/>
    <x v="3"/>
    <n v="2"/>
    <x v="1"/>
    <n v="5295"/>
    <n v="7693"/>
    <n v="4"/>
    <s v="Y"/>
    <x v="1"/>
    <n v="21"/>
    <n v="4"/>
    <n v="3"/>
    <n v="80"/>
    <n v="0"/>
    <n v="7"/>
    <n v="3"/>
    <x v="1"/>
    <n v="5"/>
    <n v="4"/>
    <n v="1"/>
    <n v="0"/>
    <x v="0"/>
    <x v="1"/>
  </r>
  <r>
    <n v="49"/>
    <x v="1"/>
    <x v="0"/>
    <n v="301"/>
    <x v="1"/>
    <n v="22"/>
    <n v="4"/>
    <s v="Other"/>
    <n v="1"/>
    <n v="1655"/>
    <n v="1"/>
    <s v="Female"/>
    <n v="72"/>
    <n v="3"/>
    <n v="4"/>
    <x v="7"/>
    <n v="2"/>
    <x v="1"/>
    <n v="16413"/>
    <n v="3498"/>
    <n v="3"/>
    <s v="Y"/>
    <x v="1"/>
    <n v="16"/>
    <n v="3"/>
    <n v="2"/>
    <n v="80"/>
    <n v="2"/>
    <n v="27"/>
    <n v="2"/>
    <x v="1"/>
    <n v="4"/>
    <n v="2"/>
    <n v="1"/>
    <n v="2"/>
    <x v="0"/>
    <x v="1"/>
  </r>
  <r>
    <n v="50"/>
    <x v="1"/>
    <x v="0"/>
    <n v="813"/>
    <x v="1"/>
    <n v="17"/>
    <n v="5"/>
    <s v="Life Sciences"/>
    <n v="1"/>
    <n v="1656"/>
    <n v="4"/>
    <s v="Female"/>
    <n v="50"/>
    <n v="2"/>
    <n v="3"/>
    <x v="7"/>
    <n v="1"/>
    <x v="2"/>
    <n v="13269"/>
    <n v="21981"/>
    <n v="5"/>
    <s v="Y"/>
    <x v="1"/>
    <n v="15"/>
    <n v="3"/>
    <n v="3"/>
    <n v="80"/>
    <n v="3"/>
    <n v="19"/>
    <n v="3"/>
    <x v="1"/>
    <n v="14"/>
    <n v="11"/>
    <n v="1"/>
    <n v="11"/>
    <x v="0"/>
    <x v="1"/>
  </r>
  <r>
    <n v="20"/>
    <x v="1"/>
    <x v="0"/>
    <n v="1141"/>
    <x v="0"/>
    <n v="2"/>
    <n v="3"/>
    <s v="Medical"/>
    <n v="1"/>
    <n v="1657"/>
    <n v="3"/>
    <s v="Female"/>
    <n v="31"/>
    <n v="3"/>
    <n v="1"/>
    <x v="6"/>
    <n v="3"/>
    <x v="0"/>
    <n v="2783"/>
    <n v="13251"/>
    <n v="1"/>
    <s v="Y"/>
    <x v="1"/>
    <n v="19"/>
    <n v="3"/>
    <n v="1"/>
    <n v="80"/>
    <n v="0"/>
    <n v="2"/>
    <n v="3"/>
    <x v="1"/>
    <n v="2"/>
    <n v="2"/>
    <n v="2"/>
    <n v="2"/>
    <x v="1"/>
    <x v="1"/>
  </r>
  <r>
    <n v="34"/>
    <x v="1"/>
    <x v="0"/>
    <n v="1130"/>
    <x v="1"/>
    <n v="3"/>
    <n v="3"/>
    <s v="Life Sciences"/>
    <n v="1"/>
    <n v="1658"/>
    <n v="4"/>
    <s v="Female"/>
    <n v="66"/>
    <n v="3"/>
    <n v="2"/>
    <x v="1"/>
    <n v="2"/>
    <x v="2"/>
    <n v="5433"/>
    <n v="19332"/>
    <n v="1"/>
    <s v="Y"/>
    <x v="1"/>
    <n v="12"/>
    <n v="3"/>
    <n v="3"/>
    <n v="80"/>
    <n v="1"/>
    <n v="11"/>
    <n v="2"/>
    <x v="1"/>
    <n v="11"/>
    <n v="8"/>
    <n v="7"/>
    <n v="9"/>
    <x v="0"/>
    <x v="1"/>
  </r>
  <r>
    <n v="36"/>
    <x v="1"/>
    <x v="0"/>
    <n v="311"/>
    <x v="1"/>
    <n v="7"/>
    <n v="3"/>
    <s v="Life Sciences"/>
    <n v="1"/>
    <n v="1659"/>
    <n v="1"/>
    <s v="Male"/>
    <n v="77"/>
    <n v="3"/>
    <n v="1"/>
    <x v="2"/>
    <n v="2"/>
    <x v="0"/>
    <n v="2013"/>
    <n v="10950"/>
    <n v="2"/>
    <s v="Y"/>
    <x v="1"/>
    <n v="11"/>
    <n v="3"/>
    <n v="3"/>
    <n v="80"/>
    <n v="0"/>
    <n v="15"/>
    <n v="4"/>
    <x v="1"/>
    <n v="4"/>
    <n v="3"/>
    <n v="1"/>
    <n v="3"/>
    <x v="0"/>
    <x v="1"/>
  </r>
  <r>
    <n v="49"/>
    <x v="1"/>
    <x v="0"/>
    <n v="465"/>
    <x v="1"/>
    <n v="6"/>
    <n v="1"/>
    <s v="Life Sciences"/>
    <n v="1"/>
    <n v="1661"/>
    <n v="3"/>
    <s v="Female"/>
    <n v="41"/>
    <n v="2"/>
    <n v="4"/>
    <x v="4"/>
    <n v="3"/>
    <x v="1"/>
    <n v="13966"/>
    <n v="11652"/>
    <n v="2"/>
    <s v="Y"/>
    <x v="0"/>
    <n v="19"/>
    <n v="3"/>
    <n v="2"/>
    <n v="80"/>
    <n v="1"/>
    <n v="30"/>
    <n v="3"/>
    <x v="1"/>
    <n v="15"/>
    <n v="11"/>
    <n v="2"/>
    <n v="12"/>
    <x v="0"/>
    <x v="1"/>
  </r>
  <r>
    <n v="36"/>
    <x v="1"/>
    <x v="2"/>
    <n v="894"/>
    <x v="1"/>
    <n v="1"/>
    <n v="4"/>
    <s v="Medical"/>
    <n v="1"/>
    <n v="1662"/>
    <n v="4"/>
    <s v="Female"/>
    <n v="33"/>
    <n v="2"/>
    <n v="2"/>
    <x v="3"/>
    <n v="3"/>
    <x v="1"/>
    <n v="4374"/>
    <n v="15411"/>
    <n v="0"/>
    <s v="Y"/>
    <x v="1"/>
    <n v="15"/>
    <n v="3"/>
    <n v="3"/>
    <n v="80"/>
    <n v="0"/>
    <n v="4"/>
    <n v="6"/>
    <x v="1"/>
    <n v="3"/>
    <n v="2"/>
    <n v="1"/>
    <n v="2"/>
    <x v="0"/>
    <x v="1"/>
  </r>
  <r>
    <n v="36"/>
    <x v="1"/>
    <x v="0"/>
    <n v="1040"/>
    <x v="1"/>
    <n v="3"/>
    <n v="2"/>
    <s v="Life Sciences"/>
    <n v="1"/>
    <n v="1664"/>
    <n v="4"/>
    <s v="Male"/>
    <n v="79"/>
    <n v="4"/>
    <n v="2"/>
    <x v="4"/>
    <n v="1"/>
    <x v="2"/>
    <n v="6842"/>
    <n v="26308"/>
    <n v="6"/>
    <s v="Y"/>
    <x v="1"/>
    <n v="20"/>
    <n v="4"/>
    <n v="1"/>
    <n v="80"/>
    <n v="1"/>
    <n v="13"/>
    <n v="3"/>
    <x v="1"/>
    <n v="5"/>
    <n v="4"/>
    <n v="0"/>
    <n v="4"/>
    <x v="0"/>
    <x v="1"/>
  </r>
  <r>
    <n v="54"/>
    <x v="1"/>
    <x v="0"/>
    <n v="584"/>
    <x v="1"/>
    <n v="22"/>
    <n v="5"/>
    <s v="Medical"/>
    <n v="1"/>
    <n v="1665"/>
    <n v="2"/>
    <s v="Female"/>
    <n v="91"/>
    <n v="3"/>
    <n v="4"/>
    <x v="5"/>
    <n v="3"/>
    <x v="1"/>
    <n v="17426"/>
    <n v="18685"/>
    <n v="3"/>
    <s v="Y"/>
    <x v="1"/>
    <n v="25"/>
    <n v="4"/>
    <n v="3"/>
    <n v="80"/>
    <n v="1"/>
    <n v="36"/>
    <n v="6"/>
    <x v="1"/>
    <n v="10"/>
    <n v="8"/>
    <n v="4"/>
    <n v="7"/>
    <x v="2"/>
    <x v="1"/>
  </r>
  <r>
    <n v="43"/>
    <x v="1"/>
    <x v="0"/>
    <n v="1291"/>
    <x v="1"/>
    <n v="15"/>
    <n v="2"/>
    <s v="Life Sciences"/>
    <n v="1"/>
    <n v="1666"/>
    <n v="3"/>
    <s v="Male"/>
    <n v="65"/>
    <n v="2"/>
    <n v="4"/>
    <x v="7"/>
    <n v="3"/>
    <x v="1"/>
    <n v="17603"/>
    <n v="3525"/>
    <n v="1"/>
    <s v="Y"/>
    <x v="1"/>
    <n v="24"/>
    <n v="4"/>
    <n v="1"/>
    <n v="80"/>
    <n v="1"/>
    <n v="14"/>
    <n v="3"/>
    <x v="1"/>
    <n v="14"/>
    <n v="10"/>
    <n v="6"/>
    <n v="11"/>
    <x v="0"/>
    <x v="1"/>
  </r>
  <r>
    <n v="35"/>
    <x v="0"/>
    <x v="1"/>
    <n v="880"/>
    <x v="0"/>
    <n v="12"/>
    <n v="4"/>
    <s v="Other"/>
    <n v="1"/>
    <n v="1667"/>
    <n v="4"/>
    <s v="Male"/>
    <n v="36"/>
    <n v="3"/>
    <n v="2"/>
    <x v="0"/>
    <n v="4"/>
    <x v="0"/>
    <n v="4581"/>
    <n v="10414"/>
    <n v="3"/>
    <s v="Y"/>
    <x v="0"/>
    <n v="24"/>
    <n v="4"/>
    <n v="1"/>
    <n v="80"/>
    <n v="0"/>
    <n v="13"/>
    <n v="2"/>
    <x v="3"/>
    <n v="11"/>
    <n v="9"/>
    <n v="6"/>
    <n v="7"/>
    <x v="0"/>
    <x v="3"/>
  </r>
  <r>
    <n v="38"/>
    <x v="1"/>
    <x v="1"/>
    <n v="1189"/>
    <x v="1"/>
    <n v="1"/>
    <n v="3"/>
    <s v="Life Sciences"/>
    <n v="1"/>
    <n v="1668"/>
    <n v="4"/>
    <s v="Male"/>
    <n v="90"/>
    <n v="3"/>
    <n v="2"/>
    <x v="1"/>
    <n v="4"/>
    <x v="1"/>
    <n v="4735"/>
    <n v="9867"/>
    <n v="7"/>
    <s v="Y"/>
    <x v="1"/>
    <n v="15"/>
    <n v="3"/>
    <n v="4"/>
    <n v="80"/>
    <n v="2"/>
    <n v="19"/>
    <n v="4"/>
    <x v="3"/>
    <n v="13"/>
    <n v="11"/>
    <n v="2"/>
    <n v="9"/>
    <x v="0"/>
    <x v="3"/>
  </r>
  <r>
    <n v="29"/>
    <x v="1"/>
    <x v="0"/>
    <n v="991"/>
    <x v="0"/>
    <n v="5"/>
    <n v="3"/>
    <s v="Medical"/>
    <n v="1"/>
    <n v="1669"/>
    <n v="1"/>
    <s v="Male"/>
    <n v="43"/>
    <n v="2"/>
    <n v="2"/>
    <x v="0"/>
    <n v="2"/>
    <x v="2"/>
    <n v="4187"/>
    <n v="3356"/>
    <n v="1"/>
    <s v="Y"/>
    <x v="0"/>
    <n v="13"/>
    <n v="3"/>
    <n v="2"/>
    <n v="80"/>
    <n v="1"/>
    <n v="10"/>
    <n v="3"/>
    <x v="2"/>
    <n v="10"/>
    <n v="0"/>
    <n v="0"/>
    <n v="9"/>
    <x v="1"/>
    <x v="2"/>
  </r>
  <r>
    <n v="33"/>
    <x v="1"/>
    <x v="0"/>
    <n v="392"/>
    <x v="0"/>
    <n v="2"/>
    <n v="4"/>
    <s v="Medical"/>
    <n v="1"/>
    <n v="1670"/>
    <n v="4"/>
    <s v="Male"/>
    <n v="93"/>
    <n v="3"/>
    <n v="2"/>
    <x v="0"/>
    <n v="4"/>
    <x v="2"/>
    <n v="5505"/>
    <n v="3921"/>
    <n v="1"/>
    <s v="Y"/>
    <x v="1"/>
    <n v="14"/>
    <n v="3"/>
    <n v="3"/>
    <n v="80"/>
    <n v="2"/>
    <n v="6"/>
    <n v="5"/>
    <x v="1"/>
    <n v="6"/>
    <n v="2"/>
    <n v="0"/>
    <n v="4"/>
    <x v="0"/>
    <x v="1"/>
  </r>
  <r>
    <n v="32"/>
    <x v="1"/>
    <x v="0"/>
    <n v="977"/>
    <x v="1"/>
    <n v="2"/>
    <n v="3"/>
    <s v="Medical"/>
    <n v="1"/>
    <n v="1671"/>
    <n v="4"/>
    <s v="Male"/>
    <n v="45"/>
    <n v="3"/>
    <n v="2"/>
    <x v="1"/>
    <n v="2"/>
    <x v="2"/>
    <n v="5470"/>
    <n v="25518"/>
    <n v="0"/>
    <s v="Y"/>
    <x v="1"/>
    <n v="13"/>
    <n v="3"/>
    <n v="3"/>
    <n v="80"/>
    <n v="2"/>
    <n v="10"/>
    <n v="4"/>
    <x v="2"/>
    <n v="9"/>
    <n v="5"/>
    <n v="1"/>
    <n v="6"/>
    <x v="0"/>
    <x v="2"/>
  </r>
  <r>
    <n v="31"/>
    <x v="1"/>
    <x v="0"/>
    <n v="1112"/>
    <x v="0"/>
    <n v="5"/>
    <n v="4"/>
    <s v="Life Sciences"/>
    <n v="1"/>
    <n v="1673"/>
    <n v="1"/>
    <s v="Female"/>
    <n v="67"/>
    <n v="3"/>
    <n v="2"/>
    <x v="0"/>
    <n v="4"/>
    <x v="1"/>
    <n v="5476"/>
    <n v="22589"/>
    <n v="1"/>
    <s v="Y"/>
    <x v="1"/>
    <n v="11"/>
    <n v="3"/>
    <n v="1"/>
    <n v="80"/>
    <n v="2"/>
    <n v="10"/>
    <n v="2"/>
    <x v="1"/>
    <n v="10"/>
    <n v="0"/>
    <n v="0"/>
    <n v="2"/>
    <x v="0"/>
    <x v="1"/>
  </r>
  <r>
    <n v="49"/>
    <x v="1"/>
    <x v="0"/>
    <n v="464"/>
    <x v="1"/>
    <n v="16"/>
    <n v="3"/>
    <s v="Medical"/>
    <n v="1"/>
    <n v="1674"/>
    <n v="4"/>
    <s v="Female"/>
    <n v="74"/>
    <n v="3"/>
    <n v="1"/>
    <x v="2"/>
    <n v="1"/>
    <x v="2"/>
    <n v="2587"/>
    <n v="24941"/>
    <n v="4"/>
    <s v="Y"/>
    <x v="0"/>
    <n v="16"/>
    <n v="3"/>
    <n v="2"/>
    <n v="80"/>
    <n v="1"/>
    <n v="17"/>
    <n v="2"/>
    <x v="2"/>
    <n v="2"/>
    <n v="2"/>
    <n v="2"/>
    <n v="2"/>
    <x v="0"/>
    <x v="2"/>
  </r>
  <r>
    <n v="38"/>
    <x v="1"/>
    <x v="1"/>
    <n v="148"/>
    <x v="1"/>
    <n v="2"/>
    <n v="3"/>
    <s v="Medical"/>
    <n v="1"/>
    <n v="1675"/>
    <n v="4"/>
    <s v="Female"/>
    <n v="42"/>
    <n v="2"/>
    <n v="1"/>
    <x v="2"/>
    <n v="2"/>
    <x v="0"/>
    <n v="2440"/>
    <n v="23826"/>
    <n v="1"/>
    <s v="Y"/>
    <x v="1"/>
    <n v="22"/>
    <n v="4"/>
    <n v="2"/>
    <n v="80"/>
    <n v="0"/>
    <n v="4"/>
    <n v="3"/>
    <x v="1"/>
    <n v="4"/>
    <n v="3"/>
    <n v="3"/>
    <n v="3"/>
    <x v="0"/>
    <x v="1"/>
  </r>
  <r>
    <n v="47"/>
    <x v="1"/>
    <x v="0"/>
    <n v="1225"/>
    <x v="0"/>
    <n v="2"/>
    <n v="4"/>
    <s v="Life Sciences"/>
    <n v="1"/>
    <n v="1676"/>
    <n v="2"/>
    <s v="Female"/>
    <n v="47"/>
    <n v="4"/>
    <n v="4"/>
    <x v="5"/>
    <n v="2"/>
    <x v="2"/>
    <n v="15972"/>
    <n v="21086"/>
    <n v="6"/>
    <s v="Y"/>
    <x v="1"/>
    <n v="14"/>
    <n v="3"/>
    <n v="3"/>
    <n v="80"/>
    <n v="3"/>
    <n v="29"/>
    <n v="2"/>
    <x v="1"/>
    <n v="3"/>
    <n v="2"/>
    <n v="1"/>
    <n v="2"/>
    <x v="0"/>
    <x v="1"/>
  </r>
  <r>
    <n v="49"/>
    <x v="1"/>
    <x v="0"/>
    <n v="809"/>
    <x v="1"/>
    <n v="1"/>
    <n v="3"/>
    <s v="Life Sciences"/>
    <n v="1"/>
    <n v="1677"/>
    <n v="3"/>
    <s v="Male"/>
    <n v="36"/>
    <n v="3"/>
    <n v="4"/>
    <x v="5"/>
    <n v="3"/>
    <x v="0"/>
    <n v="15379"/>
    <n v="22384"/>
    <n v="4"/>
    <s v="Y"/>
    <x v="1"/>
    <n v="14"/>
    <n v="3"/>
    <n v="1"/>
    <n v="80"/>
    <n v="0"/>
    <n v="23"/>
    <n v="2"/>
    <x v="1"/>
    <n v="8"/>
    <n v="7"/>
    <n v="0"/>
    <n v="0"/>
    <x v="0"/>
    <x v="1"/>
  </r>
  <r>
    <n v="41"/>
    <x v="1"/>
    <x v="0"/>
    <n v="1206"/>
    <x v="0"/>
    <n v="23"/>
    <n v="2"/>
    <s v="Life Sciences"/>
    <n v="1"/>
    <n v="1678"/>
    <n v="4"/>
    <s v="Male"/>
    <n v="80"/>
    <n v="3"/>
    <n v="3"/>
    <x v="0"/>
    <n v="3"/>
    <x v="0"/>
    <n v="7082"/>
    <n v="11591"/>
    <n v="3"/>
    <s v="Y"/>
    <x v="0"/>
    <n v="16"/>
    <n v="3"/>
    <n v="4"/>
    <n v="80"/>
    <n v="0"/>
    <n v="21"/>
    <n v="2"/>
    <x v="1"/>
    <n v="2"/>
    <n v="0"/>
    <n v="0"/>
    <n v="2"/>
    <x v="0"/>
    <x v="1"/>
  </r>
  <r>
    <n v="20"/>
    <x v="1"/>
    <x v="0"/>
    <n v="727"/>
    <x v="0"/>
    <n v="9"/>
    <n v="1"/>
    <s v="Life Sciences"/>
    <n v="1"/>
    <n v="1680"/>
    <n v="4"/>
    <s v="Male"/>
    <n v="54"/>
    <n v="3"/>
    <n v="1"/>
    <x v="6"/>
    <n v="1"/>
    <x v="0"/>
    <n v="2728"/>
    <n v="21082"/>
    <n v="1"/>
    <s v="Y"/>
    <x v="1"/>
    <n v="11"/>
    <n v="3"/>
    <n v="1"/>
    <n v="80"/>
    <n v="0"/>
    <n v="2"/>
    <n v="3"/>
    <x v="1"/>
    <n v="2"/>
    <n v="2"/>
    <n v="0"/>
    <n v="2"/>
    <x v="1"/>
    <x v="1"/>
  </r>
  <r>
    <n v="33"/>
    <x v="1"/>
    <x v="2"/>
    <n v="530"/>
    <x v="0"/>
    <n v="16"/>
    <n v="3"/>
    <s v="Life Sciences"/>
    <n v="1"/>
    <n v="1681"/>
    <n v="3"/>
    <s v="Female"/>
    <n v="36"/>
    <n v="3"/>
    <n v="2"/>
    <x v="0"/>
    <n v="4"/>
    <x v="2"/>
    <n v="5368"/>
    <n v="16130"/>
    <n v="1"/>
    <s v="Y"/>
    <x v="0"/>
    <n v="25"/>
    <n v="4"/>
    <n v="3"/>
    <n v="80"/>
    <n v="1"/>
    <n v="7"/>
    <n v="2"/>
    <x v="1"/>
    <n v="6"/>
    <n v="5"/>
    <n v="1"/>
    <n v="2"/>
    <x v="0"/>
    <x v="1"/>
  </r>
  <r>
    <n v="36"/>
    <x v="1"/>
    <x v="0"/>
    <n v="1351"/>
    <x v="1"/>
    <n v="26"/>
    <n v="4"/>
    <s v="Life Sciences"/>
    <n v="1"/>
    <n v="1682"/>
    <n v="1"/>
    <s v="Male"/>
    <n v="80"/>
    <n v="3"/>
    <n v="2"/>
    <x v="4"/>
    <n v="3"/>
    <x v="1"/>
    <n v="5347"/>
    <n v="7419"/>
    <n v="6"/>
    <s v="Y"/>
    <x v="1"/>
    <n v="14"/>
    <n v="3"/>
    <n v="2"/>
    <n v="80"/>
    <n v="2"/>
    <n v="10"/>
    <n v="2"/>
    <x v="2"/>
    <n v="3"/>
    <n v="2"/>
    <n v="0"/>
    <n v="2"/>
    <x v="0"/>
    <x v="2"/>
  </r>
  <r>
    <n v="44"/>
    <x v="1"/>
    <x v="0"/>
    <n v="528"/>
    <x v="2"/>
    <n v="1"/>
    <n v="3"/>
    <s v="Life Sciences"/>
    <n v="1"/>
    <n v="1683"/>
    <n v="3"/>
    <s v="Female"/>
    <n v="44"/>
    <n v="3"/>
    <n v="1"/>
    <x v="8"/>
    <n v="4"/>
    <x v="2"/>
    <n v="3195"/>
    <n v="4167"/>
    <n v="4"/>
    <s v="Y"/>
    <x v="0"/>
    <n v="18"/>
    <n v="3"/>
    <n v="1"/>
    <n v="80"/>
    <n v="3"/>
    <n v="8"/>
    <n v="2"/>
    <x v="1"/>
    <n v="2"/>
    <n v="2"/>
    <n v="2"/>
    <n v="2"/>
    <x v="0"/>
    <x v="1"/>
  </r>
  <r>
    <n v="23"/>
    <x v="0"/>
    <x v="0"/>
    <n v="1320"/>
    <x v="1"/>
    <n v="8"/>
    <n v="1"/>
    <s v="Medical"/>
    <n v="1"/>
    <n v="1684"/>
    <n v="4"/>
    <s v="Male"/>
    <n v="93"/>
    <n v="2"/>
    <n v="1"/>
    <x v="2"/>
    <n v="3"/>
    <x v="0"/>
    <n v="3989"/>
    <n v="20586"/>
    <n v="1"/>
    <s v="Y"/>
    <x v="0"/>
    <n v="11"/>
    <n v="3"/>
    <n v="1"/>
    <n v="80"/>
    <n v="0"/>
    <n v="5"/>
    <n v="2"/>
    <x v="1"/>
    <n v="5"/>
    <n v="4"/>
    <n v="1"/>
    <n v="2"/>
    <x v="1"/>
    <x v="1"/>
  </r>
  <r>
    <n v="38"/>
    <x v="1"/>
    <x v="0"/>
    <n v="1495"/>
    <x v="1"/>
    <n v="4"/>
    <n v="2"/>
    <s v="Medical"/>
    <n v="1"/>
    <n v="1687"/>
    <n v="4"/>
    <s v="Female"/>
    <n v="87"/>
    <n v="3"/>
    <n v="1"/>
    <x v="2"/>
    <n v="3"/>
    <x v="1"/>
    <n v="3306"/>
    <n v="26176"/>
    <n v="7"/>
    <s v="Y"/>
    <x v="1"/>
    <n v="19"/>
    <n v="3"/>
    <n v="4"/>
    <n v="80"/>
    <n v="1"/>
    <n v="7"/>
    <n v="5"/>
    <x v="2"/>
    <n v="0"/>
    <n v="0"/>
    <n v="0"/>
    <n v="0"/>
    <x v="0"/>
    <x v="2"/>
  </r>
  <r>
    <n v="53"/>
    <x v="1"/>
    <x v="0"/>
    <n v="1395"/>
    <x v="1"/>
    <n v="24"/>
    <n v="4"/>
    <s v="Medical"/>
    <n v="1"/>
    <n v="1689"/>
    <n v="2"/>
    <s v="Male"/>
    <n v="48"/>
    <n v="4"/>
    <n v="3"/>
    <x v="4"/>
    <n v="4"/>
    <x v="1"/>
    <n v="7005"/>
    <n v="3458"/>
    <n v="3"/>
    <s v="Y"/>
    <x v="1"/>
    <n v="15"/>
    <n v="3"/>
    <n v="3"/>
    <n v="80"/>
    <n v="0"/>
    <n v="11"/>
    <n v="2"/>
    <x v="1"/>
    <n v="4"/>
    <n v="3"/>
    <n v="1"/>
    <n v="2"/>
    <x v="2"/>
    <x v="1"/>
  </r>
  <r>
    <n v="48"/>
    <x v="0"/>
    <x v="1"/>
    <n v="708"/>
    <x v="0"/>
    <n v="7"/>
    <n v="2"/>
    <s v="Medical"/>
    <n v="1"/>
    <n v="1691"/>
    <n v="4"/>
    <s v="Female"/>
    <n v="95"/>
    <n v="3"/>
    <n v="1"/>
    <x v="6"/>
    <n v="3"/>
    <x v="1"/>
    <n v="2655"/>
    <n v="11740"/>
    <n v="2"/>
    <s v="Y"/>
    <x v="0"/>
    <n v="11"/>
    <n v="3"/>
    <n v="3"/>
    <n v="80"/>
    <n v="2"/>
    <n v="19"/>
    <n v="3"/>
    <x v="1"/>
    <n v="9"/>
    <n v="7"/>
    <n v="7"/>
    <n v="7"/>
    <x v="0"/>
    <x v="1"/>
  </r>
  <r>
    <n v="32"/>
    <x v="0"/>
    <x v="0"/>
    <n v="1259"/>
    <x v="1"/>
    <n v="2"/>
    <n v="4"/>
    <s v="Life Sciences"/>
    <n v="1"/>
    <n v="1692"/>
    <n v="4"/>
    <s v="Male"/>
    <n v="95"/>
    <n v="3"/>
    <n v="1"/>
    <x v="2"/>
    <n v="2"/>
    <x v="0"/>
    <n v="1393"/>
    <n v="24852"/>
    <n v="1"/>
    <s v="Y"/>
    <x v="1"/>
    <n v="12"/>
    <n v="3"/>
    <n v="1"/>
    <n v="80"/>
    <n v="0"/>
    <n v="1"/>
    <n v="2"/>
    <x v="1"/>
    <n v="1"/>
    <n v="0"/>
    <n v="0"/>
    <n v="0"/>
    <x v="0"/>
    <x v="1"/>
  </r>
  <r>
    <n v="26"/>
    <x v="1"/>
    <x v="2"/>
    <n v="786"/>
    <x v="1"/>
    <n v="7"/>
    <n v="3"/>
    <s v="Medical"/>
    <n v="1"/>
    <n v="1693"/>
    <n v="4"/>
    <s v="Male"/>
    <n v="76"/>
    <n v="3"/>
    <n v="1"/>
    <x v="2"/>
    <n v="4"/>
    <x v="0"/>
    <n v="2570"/>
    <n v="11925"/>
    <n v="1"/>
    <s v="Y"/>
    <x v="1"/>
    <n v="20"/>
    <n v="4"/>
    <n v="3"/>
    <n v="80"/>
    <n v="0"/>
    <n v="7"/>
    <n v="5"/>
    <x v="1"/>
    <n v="7"/>
    <n v="7"/>
    <n v="5"/>
    <n v="7"/>
    <x v="1"/>
    <x v="1"/>
  </r>
  <r>
    <n v="55"/>
    <x v="1"/>
    <x v="0"/>
    <n v="1441"/>
    <x v="1"/>
    <n v="22"/>
    <n v="3"/>
    <s v="Technical Degree"/>
    <n v="1"/>
    <n v="1694"/>
    <n v="1"/>
    <s v="Male"/>
    <n v="94"/>
    <n v="2"/>
    <n v="1"/>
    <x v="1"/>
    <n v="2"/>
    <x v="2"/>
    <n v="3537"/>
    <n v="23737"/>
    <n v="5"/>
    <s v="Y"/>
    <x v="1"/>
    <n v="12"/>
    <n v="3"/>
    <n v="4"/>
    <n v="80"/>
    <n v="1"/>
    <n v="8"/>
    <n v="1"/>
    <x v="1"/>
    <n v="4"/>
    <n v="2"/>
    <n v="1"/>
    <n v="2"/>
    <x v="2"/>
    <x v="1"/>
  </r>
  <r>
    <n v="34"/>
    <x v="1"/>
    <x v="0"/>
    <n v="1157"/>
    <x v="1"/>
    <n v="5"/>
    <n v="2"/>
    <s v="Medical"/>
    <n v="1"/>
    <n v="1696"/>
    <n v="2"/>
    <s v="Male"/>
    <n v="57"/>
    <n v="2"/>
    <n v="2"/>
    <x v="2"/>
    <n v="4"/>
    <x v="1"/>
    <n v="3986"/>
    <n v="11912"/>
    <n v="1"/>
    <s v="Y"/>
    <x v="1"/>
    <n v="14"/>
    <n v="3"/>
    <n v="3"/>
    <n v="80"/>
    <n v="1"/>
    <n v="15"/>
    <n v="3"/>
    <x v="3"/>
    <n v="15"/>
    <n v="10"/>
    <n v="4"/>
    <n v="13"/>
    <x v="0"/>
    <x v="3"/>
  </r>
  <r>
    <n v="60"/>
    <x v="1"/>
    <x v="0"/>
    <n v="370"/>
    <x v="1"/>
    <n v="1"/>
    <n v="4"/>
    <s v="Medical"/>
    <n v="1"/>
    <n v="1697"/>
    <n v="3"/>
    <s v="Male"/>
    <n v="92"/>
    <n v="1"/>
    <n v="3"/>
    <x v="4"/>
    <n v="4"/>
    <x v="2"/>
    <n v="10883"/>
    <n v="20467"/>
    <n v="3"/>
    <s v="Y"/>
    <x v="1"/>
    <n v="20"/>
    <n v="4"/>
    <n v="3"/>
    <n v="80"/>
    <n v="1"/>
    <n v="19"/>
    <n v="2"/>
    <x v="3"/>
    <n v="1"/>
    <n v="0"/>
    <n v="0"/>
    <n v="0"/>
    <x v="2"/>
    <x v="3"/>
  </r>
  <r>
    <n v="33"/>
    <x v="1"/>
    <x v="0"/>
    <n v="267"/>
    <x v="1"/>
    <n v="21"/>
    <n v="3"/>
    <s v="Medical"/>
    <n v="1"/>
    <n v="1698"/>
    <n v="2"/>
    <s v="Male"/>
    <n v="79"/>
    <n v="4"/>
    <n v="1"/>
    <x v="2"/>
    <n v="2"/>
    <x v="1"/>
    <n v="2028"/>
    <n v="13637"/>
    <n v="1"/>
    <s v="Y"/>
    <x v="1"/>
    <n v="18"/>
    <n v="3"/>
    <n v="4"/>
    <n v="80"/>
    <n v="3"/>
    <n v="14"/>
    <n v="6"/>
    <x v="1"/>
    <n v="14"/>
    <n v="11"/>
    <n v="2"/>
    <n v="13"/>
    <x v="0"/>
    <x v="1"/>
  </r>
  <r>
    <n v="37"/>
    <x v="1"/>
    <x v="1"/>
    <n v="1278"/>
    <x v="0"/>
    <n v="1"/>
    <n v="4"/>
    <s v="Medical"/>
    <n v="1"/>
    <n v="1700"/>
    <n v="3"/>
    <s v="Male"/>
    <n v="31"/>
    <n v="1"/>
    <n v="2"/>
    <x v="0"/>
    <n v="4"/>
    <x v="2"/>
    <n v="9525"/>
    <n v="7677"/>
    <n v="1"/>
    <s v="Y"/>
    <x v="1"/>
    <n v="14"/>
    <n v="3"/>
    <n v="3"/>
    <n v="80"/>
    <n v="2"/>
    <n v="6"/>
    <n v="2"/>
    <x v="2"/>
    <n v="6"/>
    <n v="3"/>
    <n v="1"/>
    <n v="3"/>
    <x v="0"/>
    <x v="2"/>
  </r>
  <r>
    <n v="34"/>
    <x v="1"/>
    <x v="0"/>
    <n v="678"/>
    <x v="1"/>
    <n v="19"/>
    <n v="3"/>
    <s v="Life Sciences"/>
    <n v="1"/>
    <n v="1701"/>
    <n v="2"/>
    <s v="Female"/>
    <n v="35"/>
    <n v="2"/>
    <n v="1"/>
    <x v="1"/>
    <n v="4"/>
    <x v="1"/>
    <n v="2929"/>
    <n v="20338"/>
    <n v="1"/>
    <s v="Y"/>
    <x v="1"/>
    <n v="12"/>
    <n v="3"/>
    <n v="2"/>
    <n v="80"/>
    <n v="0"/>
    <n v="10"/>
    <n v="3"/>
    <x v="1"/>
    <n v="10"/>
    <n v="9"/>
    <n v="8"/>
    <n v="7"/>
    <x v="0"/>
    <x v="1"/>
  </r>
  <r>
    <n v="23"/>
    <x v="0"/>
    <x v="0"/>
    <n v="427"/>
    <x v="0"/>
    <n v="7"/>
    <n v="3"/>
    <s v="Life Sciences"/>
    <n v="1"/>
    <n v="1702"/>
    <n v="3"/>
    <s v="Male"/>
    <n v="99"/>
    <n v="3"/>
    <n v="1"/>
    <x v="6"/>
    <n v="4"/>
    <x v="2"/>
    <n v="2275"/>
    <n v="25103"/>
    <n v="1"/>
    <s v="Y"/>
    <x v="0"/>
    <n v="21"/>
    <n v="4"/>
    <n v="2"/>
    <n v="80"/>
    <n v="1"/>
    <n v="3"/>
    <n v="2"/>
    <x v="1"/>
    <n v="3"/>
    <n v="2"/>
    <n v="0"/>
    <n v="2"/>
    <x v="1"/>
    <x v="1"/>
  </r>
  <r>
    <n v="44"/>
    <x v="1"/>
    <x v="0"/>
    <n v="921"/>
    <x v="1"/>
    <n v="2"/>
    <n v="3"/>
    <s v="Life Sciences"/>
    <n v="1"/>
    <n v="1703"/>
    <n v="3"/>
    <s v="Female"/>
    <n v="96"/>
    <n v="4"/>
    <n v="3"/>
    <x v="4"/>
    <n v="4"/>
    <x v="1"/>
    <n v="7879"/>
    <n v="14810"/>
    <n v="1"/>
    <s v="Y"/>
    <x v="0"/>
    <n v="19"/>
    <n v="3"/>
    <n v="2"/>
    <n v="80"/>
    <n v="1"/>
    <n v="9"/>
    <n v="2"/>
    <x v="1"/>
    <n v="8"/>
    <n v="7"/>
    <n v="6"/>
    <n v="7"/>
    <x v="0"/>
    <x v="1"/>
  </r>
  <r>
    <n v="35"/>
    <x v="1"/>
    <x v="1"/>
    <n v="146"/>
    <x v="1"/>
    <n v="2"/>
    <n v="4"/>
    <s v="Medical"/>
    <n v="1"/>
    <n v="1704"/>
    <n v="1"/>
    <s v="Male"/>
    <n v="79"/>
    <n v="2"/>
    <n v="1"/>
    <x v="1"/>
    <n v="4"/>
    <x v="0"/>
    <n v="4930"/>
    <n v="13970"/>
    <n v="0"/>
    <s v="Y"/>
    <x v="0"/>
    <n v="14"/>
    <n v="3"/>
    <n v="3"/>
    <n v="80"/>
    <n v="0"/>
    <n v="6"/>
    <n v="2"/>
    <x v="3"/>
    <n v="5"/>
    <n v="4"/>
    <n v="1"/>
    <n v="4"/>
    <x v="0"/>
    <x v="3"/>
  </r>
  <r>
    <n v="43"/>
    <x v="1"/>
    <x v="0"/>
    <n v="1179"/>
    <x v="0"/>
    <n v="2"/>
    <n v="3"/>
    <s v="Medical"/>
    <n v="1"/>
    <n v="1706"/>
    <n v="4"/>
    <s v="Male"/>
    <n v="73"/>
    <n v="3"/>
    <n v="2"/>
    <x v="0"/>
    <n v="4"/>
    <x v="1"/>
    <n v="7847"/>
    <n v="6069"/>
    <n v="1"/>
    <s v="Y"/>
    <x v="0"/>
    <n v="17"/>
    <n v="3"/>
    <n v="1"/>
    <n v="80"/>
    <n v="1"/>
    <n v="10"/>
    <n v="3"/>
    <x v="1"/>
    <n v="10"/>
    <n v="9"/>
    <n v="8"/>
    <n v="8"/>
    <x v="0"/>
    <x v="1"/>
  </r>
  <r>
    <n v="24"/>
    <x v="1"/>
    <x v="0"/>
    <n v="581"/>
    <x v="1"/>
    <n v="9"/>
    <n v="3"/>
    <s v="Medical"/>
    <n v="1"/>
    <n v="1707"/>
    <n v="3"/>
    <s v="Male"/>
    <n v="62"/>
    <n v="4"/>
    <n v="1"/>
    <x v="1"/>
    <n v="3"/>
    <x v="1"/>
    <n v="4401"/>
    <n v="17616"/>
    <n v="1"/>
    <s v="Y"/>
    <x v="1"/>
    <n v="16"/>
    <n v="3"/>
    <n v="4"/>
    <n v="80"/>
    <n v="1"/>
    <n v="5"/>
    <n v="1"/>
    <x v="1"/>
    <n v="5"/>
    <n v="3"/>
    <n v="0"/>
    <n v="4"/>
    <x v="1"/>
    <x v="1"/>
  </r>
  <r>
    <n v="41"/>
    <x v="1"/>
    <x v="0"/>
    <n v="918"/>
    <x v="0"/>
    <n v="6"/>
    <n v="3"/>
    <s v="Marketing"/>
    <n v="1"/>
    <n v="1708"/>
    <n v="4"/>
    <s v="Male"/>
    <n v="35"/>
    <n v="3"/>
    <n v="3"/>
    <x v="0"/>
    <n v="3"/>
    <x v="0"/>
    <n v="9241"/>
    <n v="15869"/>
    <n v="1"/>
    <s v="Y"/>
    <x v="1"/>
    <n v="12"/>
    <n v="3"/>
    <n v="2"/>
    <n v="80"/>
    <n v="0"/>
    <n v="10"/>
    <n v="3"/>
    <x v="1"/>
    <n v="10"/>
    <n v="8"/>
    <n v="8"/>
    <n v="7"/>
    <x v="0"/>
    <x v="1"/>
  </r>
  <r>
    <n v="29"/>
    <x v="1"/>
    <x v="0"/>
    <n v="1082"/>
    <x v="1"/>
    <n v="9"/>
    <n v="4"/>
    <s v="Medical"/>
    <n v="1"/>
    <n v="1709"/>
    <n v="4"/>
    <s v="Female"/>
    <n v="43"/>
    <n v="3"/>
    <n v="1"/>
    <x v="2"/>
    <n v="3"/>
    <x v="1"/>
    <n v="2974"/>
    <n v="25412"/>
    <n v="9"/>
    <s v="Y"/>
    <x v="1"/>
    <n v="17"/>
    <n v="3"/>
    <n v="3"/>
    <n v="80"/>
    <n v="1"/>
    <n v="9"/>
    <n v="2"/>
    <x v="1"/>
    <n v="5"/>
    <n v="3"/>
    <n v="1"/>
    <n v="2"/>
    <x v="1"/>
    <x v="1"/>
  </r>
  <r>
    <n v="36"/>
    <x v="1"/>
    <x v="0"/>
    <n v="530"/>
    <x v="0"/>
    <n v="2"/>
    <n v="4"/>
    <s v="Life Sciences"/>
    <n v="1"/>
    <n v="1710"/>
    <n v="3"/>
    <s v="Female"/>
    <n v="51"/>
    <n v="3"/>
    <n v="2"/>
    <x v="6"/>
    <n v="4"/>
    <x v="0"/>
    <n v="4502"/>
    <n v="7439"/>
    <n v="3"/>
    <s v="Y"/>
    <x v="1"/>
    <n v="15"/>
    <n v="3"/>
    <n v="3"/>
    <n v="80"/>
    <n v="0"/>
    <n v="17"/>
    <n v="2"/>
    <x v="2"/>
    <n v="13"/>
    <n v="7"/>
    <n v="6"/>
    <n v="7"/>
    <x v="0"/>
    <x v="2"/>
  </r>
  <r>
    <n v="45"/>
    <x v="1"/>
    <x v="2"/>
    <n v="1238"/>
    <x v="1"/>
    <n v="1"/>
    <n v="1"/>
    <s v="Life Sciences"/>
    <n v="1"/>
    <n v="1712"/>
    <n v="3"/>
    <s v="Male"/>
    <n v="74"/>
    <n v="2"/>
    <n v="3"/>
    <x v="4"/>
    <n v="3"/>
    <x v="1"/>
    <n v="10748"/>
    <n v="3395"/>
    <n v="3"/>
    <s v="Y"/>
    <x v="1"/>
    <n v="23"/>
    <n v="4"/>
    <n v="4"/>
    <n v="80"/>
    <n v="1"/>
    <n v="25"/>
    <n v="3"/>
    <x v="2"/>
    <n v="23"/>
    <n v="15"/>
    <n v="14"/>
    <n v="4"/>
    <x v="0"/>
    <x v="2"/>
  </r>
  <r>
    <n v="24"/>
    <x v="0"/>
    <x v="0"/>
    <n v="240"/>
    <x v="2"/>
    <n v="22"/>
    <n v="1"/>
    <s v="Human Resources"/>
    <n v="1"/>
    <n v="1714"/>
    <n v="4"/>
    <s v="Male"/>
    <n v="58"/>
    <n v="1"/>
    <n v="1"/>
    <x v="8"/>
    <n v="3"/>
    <x v="1"/>
    <n v="1555"/>
    <n v="11585"/>
    <n v="1"/>
    <s v="Y"/>
    <x v="1"/>
    <n v="11"/>
    <n v="3"/>
    <n v="3"/>
    <n v="80"/>
    <n v="1"/>
    <n v="1"/>
    <n v="2"/>
    <x v="1"/>
    <n v="1"/>
    <n v="0"/>
    <n v="0"/>
    <n v="0"/>
    <x v="1"/>
    <x v="1"/>
  </r>
  <r>
    <n v="47"/>
    <x v="0"/>
    <x v="1"/>
    <n v="1093"/>
    <x v="0"/>
    <n v="9"/>
    <n v="3"/>
    <s v="Life Sciences"/>
    <n v="1"/>
    <n v="1716"/>
    <n v="3"/>
    <s v="Male"/>
    <n v="82"/>
    <n v="1"/>
    <n v="4"/>
    <x v="0"/>
    <n v="3"/>
    <x v="1"/>
    <n v="12936"/>
    <n v="24164"/>
    <n v="7"/>
    <s v="Y"/>
    <x v="1"/>
    <n v="11"/>
    <n v="3"/>
    <n v="3"/>
    <n v="80"/>
    <n v="0"/>
    <n v="25"/>
    <n v="3"/>
    <x v="0"/>
    <n v="23"/>
    <n v="5"/>
    <n v="14"/>
    <n v="10"/>
    <x v="0"/>
    <x v="0"/>
  </r>
  <r>
    <n v="26"/>
    <x v="1"/>
    <x v="0"/>
    <n v="390"/>
    <x v="1"/>
    <n v="17"/>
    <n v="4"/>
    <s v="Medical"/>
    <n v="1"/>
    <n v="1718"/>
    <n v="4"/>
    <s v="Male"/>
    <n v="62"/>
    <n v="1"/>
    <n v="1"/>
    <x v="2"/>
    <n v="3"/>
    <x v="1"/>
    <n v="2305"/>
    <n v="6217"/>
    <n v="1"/>
    <s v="Y"/>
    <x v="1"/>
    <n v="15"/>
    <n v="3"/>
    <n v="3"/>
    <n v="80"/>
    <n v="3"/>
    <n v="3"/>
    <n v="3"/>
    <x v="3"/>
    <n v="3"/>
    <n v="2"/>
    <n v="0"/>
    <n v="2"/>
    <x v="1"/>
    <x v="3"/>
  </r>
  <r>
    <n v="45"/>
    <x v="1"/>
    <x v="0"/>
    <n v="1005"/>
    <x v="1"/>
    <n v="28"/>
    <n v="2"/>
    <s v="Technical Degree"/>
    <n v="1"/>
    <n v="1719"/>
    <n v="4"/>
    <s v="Female"/>
    <n v="48"/>
    <n v="2"/>
    <n v="4"/>
    <x v="7"/>
    <n v="2"/>
    <x v="0"/>
    <n v="16704"/>
    <n v="17119"/>
    <n v="1"/>
    <s v="Y"/>
    <x v="1"/>
    <n v="11"/>
    <n v="3"/>
    <n v="3"/>
    <n v="80"/>
    <n v="0"/>
    <n v="21"/>
    <n v="2"/>
    <x v="1"/>
    <n v="21"/>
    <n v="6"/>
    <n v="8"/>
    <n v="6"/>
    <x v="0"/>
    <x v="1"/>
  </r>
  <r>
    <n v="32"/>
    <x v="1"/>
    <x v="1"/>
    <n v="585"/>
    <x v="1"/>
    <n v="10"/>
    <n v="3"/>
    <s v="Life Sciences"/>
    <n v="1"/>
    <n v="1720"/>
    <n v="1"/>
    <s v="Male"/>
    <n v="56"/>
    <n v="3"/>
    <n v="1"/>
    <x v="1"/>
    <n v="3"/>
    <x v="1"/>
    <n v="3433"/>
    <n v="17360"/>
    <n v="6"/>
    <s v="Y"/>
    <x v="1"/>
    <n v="13"/>
    <n v="3"/>
    <n v="1"/>
    <n v="80"/>
    <n v="1"/>
    <n v="10"/>
    <n v="3"/>
    <x v="2"/>
    <n v="5"/>
    <n v="2"/>
    <n v="1"/>
    <n v="3"/>
    <x v="0"/>
    <x v="2"/>
  </r>
  <r>
    <n v="31"/>
    <x v="1"/>
    <x v="0"/>
    <n v="741"/>
    <x v="1"/>
    <n v="2"/>
    <n v="4"/>
    <s v="Life Sciences"/>
    <n v="1"/>
    <n v="1721"/>
    <n v="2"/>
    <s v="Male"/>
    <n v="69"/>
    <n v="3"/>
    <n v="1"/>
    <x v="2"/>
    <n v="3"/>
    <x v="1"/>
    <n v="3477"/>
    <n v="18103"/>
    <n v="1"/>
    <s v="Y"/>
    <x v="1"/>
    <n v="14"/>
    <n v="3"/>
    <n v="4"/>
    <n v="80"/>
    <n v="1"/>
    <n v="6"/>
    <n v="2"/>
    <x v="3"/>
    <n v="5"/>
    <n v="2"/>
    <n v="0"/>
    <n v="3"/>
    <x v="0"/>
    <x v="3"/>
  </r>
  <r>
    <n v="41"/>
    <x v="1"/>
    <x v="2"/>
    <n v="552"/>
    <x v="2"/>
    <n v="4"/>
    <n v="3"/>
    <s v="Human Resources"/>
    <n v="1"/>
    <n v="1722"/>
    <n v="3"/>
    <s v="Male"/>
    <n v="60"/>
    <n v="1"/>
    <n v="2"/>
    <x v="8"/>
    <n v="2"/>
    <x v="1"/>
    <n v="6430"/>
    <n v="20794"/>
    <n v="6"/>
    <s v="Y"/>
    <x v="1"/>
    <n v="19"/>
    <n v="3"/>
    <n v="2"/>
    <n v="80"/>
    <n v="1"/>
    <n v="10"/>
    <n v="4"/>
    <x v="1"/>
    <n v="3"/>
    <n v="2"/>
    <n v="1"/>
    <n v="2"/>
    <x v="0"/>
    <x v="1"/>
  </r>
  <r>
    <n v="40"/>
    <x v="1"/>
    <x v="0"/>
    <n v="369"/>
    <x v="1"/>
    <n v="8"/>
    <n v="2"/>
    <s v="Life Sciences"/>
    <n v="1"/>
    <n v="1724"/>
    <n v="2"/>
    <s v="Female"/>
    <n v="92"/>
    <n v="3"/>
    <n v="2"/>
    <x v="3"/>
    <n v="1"/>
    <x v="1"/>
    <n v="6516"/>
    <n v="5041"/>
    <n v="2"/>
    <s v="Y"/>
    <x v="0"/>
    <n v="16"/>
    <n v="3"/>
    <n v="2"/>
    <n v="80"/>
    <n v="1"/>
    <n v="18"/>
    <n v="3"/>
    <x v="1"/>
    <n v="1"/>
    <n v="0"/>
    <n v="0"/>
    <n v="0"/>
    <x v="0"/>
    <x v="1"/>
  </r>
  <r>
    <n v="24"/>
    <x v="1"/>
    <x v="0"/>
    <n v="506"/>
    <x v="1"/>
    <n v="29"/>
    <n v="1"/>
    <s v="Medical"/>
    <n v="1"/>
    <n v="1725"/>
    <n v="2"/>
    <s v="Male"/>
    <n v="91"/>
    <n v="3"/>
    <n v="1"/>
    <x v="2"/>
    <n v="1"/>
    <x v="2"/>
    <n v="3907"/>
    <n v="3622"/>
    <n v="1"/>
    <s v="Y"/>
    <x v="1"/>
    <n v="13"/>
    <n v="3"/>
    <n v="2"/>
    <n v="80"/>
    <n v="3"/>
    <n v="6"/>
    <n v="2"/>
    <x v="3"/>
    <n v="6"/>
    <n v="2"/>
    <n v="1"/>
    <n v="2"/>
    <x v="1"/>
    <x v="3"/>
  </r>
  <r>
    <n v="46"/>
    <x v="1"/>
    <x v="0"/>
    <n v="717"/>
    <x v="1"/>
    <n v="13"/>
    <n v="4"/>
    <s v="Life Sciences"/>
    <n v="1"/>
    <n v="1727"/>
    <n v="3"/>
    <s v="Male"/>
    <n v="34"/>
    <n v="3"/>
    <n v="2"/>
    <x v="4"/>
    <n v="2"/>
    <x v="0"/>
    <n v="5562"/>
    <n v="9697"/>
    <n v="6"/>
    <s v="Y"/>
    <x v="1"/>
    <n v="14"/>
    <n v="3"/>
    <n v="4"/>
    <n v="80"/>
    <n v="0"/>
    <n v="19"/>
    <n v="3"/>
    <x v="1"/>
    <n v="10"/>
    <n v="7"/>
    <n v="0"/>
    <n v="9"/>
    <x v="0"/>
    <x v="1"/>
  </r>
  <r>
    <n v="35"/>
    <x v="1"/>
    <x v="0"/>
    <n v="1370"/>
    <x v="1"/>
    <n v="27"/>
    <n v="4"/>
    <s v="Life Sciences"/>
    <n v="1"/>
    <n v="1728"/>
    <n v="4"/>
    <s v="Male"/>
    <n v="49"/>
    <n v="3"/>
    <n v="2"/>
    <x v="3"/>
    <n v="3"/>
    <x v="1"/>
    <n v="6883"/>
    <n v="5151"/>
    <n v="2"/>
    <s v="Y"/>
    <x v="1"/>
    <n v="16"/>
    <n v="3"/>
    <n v="2"/>
    <n v="80"/>
    <n v="1"/>
    <n v="17"/>
    <n v="3"/>
    <x v="1"/>
    <n v="7"/>
    <n v="7"/>
    <n v="0"/>
    <n v="7"/>
    <x v="0"/>
    <x v="1"/>
  </r>
  <r>
    <n v="30"/>
    <x v="1"/>
    <x v="0"/>
    <n v="793"/>
    <x v="1"/>
    <n v="16"/>
    <n v="1"/>
    <s v="Life Sciences"/>
    <n v="1"/>
    <n v="1729"/>
    <n v="2"/>
    <s v="Male"/>
    <n v="33"/>
    <n v="3"/>
    <n v="1"/>
    <x v="1"/>
    <n v="4"/>
    <x v="1"/>
    <n v="2862"/>
    <n v="3811"/>
    <n v="1"/>
    <s v="Y"/>
    <x v="1"/>
    <n v="12"/>
    <n v="3"/>
    <n v="2"/>
    <n v="80"/>
    <n v="1"/>
    <n v="10"/>
    <n v="2"/>
    <x v="2"/>
    <n v="10"/>
    <n v="0"/>
    <n v="0"/>
    <n v="8"/>
    <x v="1"/>
    <x v="2"/>
  </r>
  <r>
    <n v="47"/>
    <x v="1"/>
    <x v="2"/>
    <n v="543"/>
    <x v="0"/>
    <n v="2"/>
    <n v="4"/>
    <s v="Marketing"/>
    <n v="1"/>
    <n v="1731"/>
    <n v="3"/>
    <s v="Male"/>
    <n v="87"/>
    <n v="3"/>
    <n v="2"/>
    <x v="0"/>
    <n v="2"/>
    <x v="1"/>
    <n v="4978"/>
    <n v="3536"/>
    <n v="7"/>
    <s v="Y"/>
    <x v="1"/>
    <n v="11"/>
    <n v="3"/>
    <n v="4"/>
    <n v="80"/>
    <n v="1"/>
    <n v="4"/>
    <n v="3"/>
    <x v="0"/>
    <n v="1"/>
    <n v="0"/>
    <n v="0"/>
    <n v="0"/>
    <x v="0"/>
    <x v="0"/>
  </r>
  <r>
    <n v="46"/>
    <x v="1"/>
    <x v="0"/>
    <n v="1277"/>
    <x v="0"/>
    <n v="2"/>
    <n v="3"/>
    <s v="Life Sciences"/>
    <n v="1"/>
    <n v="1732"/>
    <n v="3"/>
    <s v="Male"/>
    <n v="74"/>
    <n v="3"/>
    <n v="3"/>
    <x v="0"/>
    <n v="4"/>
    <x v="2"/>
    <n v="10368"/>
    <n v="5596"/>
    <n v="4"/>
    <s v="Y"/>
    <x v="0"/>
    <n v="12"/>
    <n v="3"/>
    <n v="2"/>
    <n v="80"/>
    <n v="1"/>
    <n v="13"/>
    <n v="5"/>
    <x v="2"/>
    <n v="10"/>
    <n v="6"/>
    <n v="0"/>
    <n v="3"/>
    <x v="0"/>
    <x v="2"/>
  </r>
  <r>
    <n v="36"/>
    <x v="0"/>
    <x v="0"/>
    <n v="1456"/>
    <x v="0"/>
    <n v="13"/>
    <n v="5"/>
    <s v="Marketing"/>
    <n v="1"/>
    <n v="1733"/>
    <n v="2"/>
    <s v="Male"/>
    <n v="96"/>
    <n v="2"/>
    <n v="2"/>
    <x v="0"/>
    <n v="1"/>
    <x v="2"/>
    <n v="6134"/>
    <n v="8658"/>
    <n v="5"/>
    <s v="Y"/>
    <x v="0"/>
    <n v="13"/>
    <n v="3"/>
    <n v="2"/>
    <n v="80"/>
    <n v="3"/>
    <n v="16"/>
    <n v="3"/>
    <x v="1"/>
    <n v="2"/>
    <n v="2"/>
    <n v="2"/>
    <n v="2"/>
    <x v="0"/>
    <x v="1"/>
  </r>
  <r>
    <n v="32"/>
    <x v="0"/>
    <x v="0"/>
    <n v="964"/>
    <x v="0"/>
    <n v="1"/>
    <n v="2"/>
    <s v="Life Sciences"/>
    <n v="1"/>
    <n v="1734"/>
    <n v="1"/>
    <s v="Male"/>
    <n v="34"/>
    <n v="1"/>
    <n v="2"/>
    <x v="0"/>
    <n v="2"/>
    <x v="0"/>
    <n v="6735"/>
    <n v="12147"/>
    <n v="6"/>
    <s v="Y"/>
    <x v="1"/>
    <n v="15"/>
    <n v="3"/>
    <n v="2"/>
    <n v="80"/>
    <n v="0"/>
    <n v="10"/>
    <n v="2"/>
    <x v="1"/>
    <n v="0"/>
    <n v="0"/>
    <n v="0"/>
    <n v="0"/>
    <x v="0"/>
    <x v="1"/>
  </r>
  <r>
    <n v="23"/>
    <x v="1"/>
    <x v="0"/>
    <n v="160"/>
    <x v="1"/>
    <n v="4"/>
    <n v="1"/>
    <s v="Medical"/>
    <n v="1"/>
    <n v="1735"/>
    <n v="3"/>
    <s v="Female"/>
    <n v="51"/>
    <n v="3"/>
    <n v="1"/>
    <x v="2"/>
    <n v="2"/>
    <x v="0"/>
    <n v="3295"/>
    <n v="12862"/>
    <n v="1"/>
    <s v="Y"/>
    <x v="1"/>
    <n v="13"/>
    <n v="3"/>
    <n v="3"/>
    <n v="80"/>
    <n v="0"/>
    <n v="3"/>
    <n v="3"/>
    <x v="0"/>
    <n v="3"/>
    <n v="2"/>
    <n v="1"/>
    <n v="2"/>
    <x v="1"/>
    <x v="0"/>
  </r>
  <r>
    <n v="31"/>
    <x v="1"/>
    <x v="1"/>
    <n v="163"/>
    <x v="1"/>
    <n v="24"/>
    <n v="1"/>
    <s v="Technical Degree"/>
    <n v="1"/>
    <n v="1736"/>
    <n v="4"/>
    <s v="Female"/>
    <n v="30"/>
    <n v="3"/>
    <n v="2"/>
    <x v="3"/>
    <n v="4"/>
    <x v="0"/>
    <n v="5238"/>
    <n v="6670"/>
    <n v="2"/>
    <s v="Y"/>
    <x v="1"/>
    <n v="20"/>
    <n v="4"/>
    <n v="4"/>
    <n v="80"/>
    <n v="0"/>
    <n v="9"/>
    <n v="3"/>
    <x v="2"/>
    <n v="5"/>
    <n v="4"/>
    <n v="1"/>
    <n v="4"/>
    <x v="0"/>
    <x v="2"/>
  </r>
  <r>
    <n v="39"/>
    <x v="1"/>
    <x v="2"/>
    <n v="792"/>
    <x v="1"/>
    <n v="1"/>
    <n v="3"/>
    <s v="Life Sciences"/>
    <n v="1"/>
    <n v="1737"/>
    <n v="4"/>
    <s v="Male"/>
    <n v="77"/>
    <n v="3"/>
    <n v="2"/>
    <x v="2"/>
    <n v="4"/>
    <x v="1"/>
    <n v="6472"/>
    <n v="8989"/>
    <n v="1"/>
    <s v="Y"/>
    <x v="0"/>
    <n v="15"/>
    <n v="3"/>
    <n v="4"/>
    <n v="80"/>
    <n v="1"/>
    <n v="9"/>
    <n v="2"/>
    <x v="1"/>
    <n v="9"/>
    <n v="8"/>
    <n v="5"/>
    <n v="8"/>
    <x v="0"/>
    <x v="1"/>
  </r>
  <r>
    <n v="32"/>
    <x v="1"/>
    <x v="0"/>
    <n v="371"/>
    <x v="0"/>
    <n v="19"/>
    <n v="3"/>
    <s v="Life Sciences"/>
    <n v="1"/>
    <n v="1739"/>
    <n v="4"/>
    <s v="Male"/>
    <n v="80"/>
    <n v="1"/>
    <n v="3"/>
    <x v="0"/>
    <n v="3"/>
    <x v="1"/>
    <n v="9610"/>
    <n v="3840"/>
    <n v="3"/>
    <s v="Y"/>
    <x v="1"/>
    <n v="13"/>
    <n v="3"/>
    <n v="3"/>
    <n v="80"/>
    <n v="1"/>
    <n v="10"/>
    <n v="2"/>
    <x v="0"/>
    <n v="4"/>
    <n v="3"/>
    <n v="0"/>
    <n v="2"/>
    <x v="0"/>
    <x v="0"/>
  </r>
  <r>
    <n v="40"/>
    <x v="1"/>
    <x v="0"/>
    <n v="611"/>
    <x v="0"/>
    <n v="7"/>
    <n v="4"/>
    <s v="Medical"/>
    <n v="1"/>
    <n v="1740"/>
    <n v="2"/>
    <s v="Male"/>
    <n v="88"/>
    <n v="3"/>
    <n v="5"/>
    <x v="5"/>
    <n v="2"/>
    <x v="0"/>
    <n v="19833"/>
    <n v="4349"/>
    <n v="1"/>
    <s v="Y"/>
    <x v="1"/>
    <n v="14"/>
    <n v="3"/>
    <n v="2"/>
    <n v="80"/>
    <n v="0"/>
    <n v="21"/>
    <n v="3"/>
    <x v="2"/>
    <n v="21"/>
    <n v="8"/>
    <n v="12"/>
    <n v="8"/>
    <x v="0"/>
    <x v="2"/>
  </r>
  <r>
    <n v="45"/>
    <x v="1"/>
    <x v="0"/>
    <n v="176"/>
    <x v="2"/>
    <n v="4"/>
    <n v="3"/>
    <s v="Life Sciences"/>
    <n v="1"/>
    <n v="1744"/>
    <n v="3"/>
    <s v="Female"/>
    <n v="56"/>
    <n v="1"/>
    <n v="3"/>
    <x v="8"/>
    <n v="3"/>
    <x v="1"/>
    <n v="9756"/>
    <n v="6595"/>
    <n v="4"/>
    <s v="Y"/>
    <x v="1"/>
    <n v="21"/>
    <n v="4"/>
    <n v="3"/>
    <n v="80"/>
    <n v="2"/>
    <n v="9"/>
    <n v="2"/>
    <x v="3"/>
    <n v="5"/>
    <n v="0"/>
    <n v="0"/>
    <n v="3"/>
    <x v="0"/>
    <x v="3"/>
  </r>
  <r>
    <n v="30"/>
    <x v="1"/>
    <x v="1"/>
    <n v="1312"/>
    <x v="1"/>
    <n v="2"/>
    <n v="4"/>
    <s v="Technical Degree"/>
    <n v="1"/>
    <n v="1745"/>
    <n v="4"/>
    <s v="Female"/>
    <n v="78"/>
    <n v="2"/>
    <n v="1"/>
    <x v="1"/>
    <n v="1"/>
    <x v="0"/>
    <n v="4968"/>
    <n v="26427"/>
    <n v="0"/>
    <s v="Y"/>
    <x v="1"/>
    <n v="16"/>
    <n v="3"/>
    <n v="4"/>
    <n v="80"/>
    <n v="0"/>
    <n v="10"/>
    <n v="2"/>
    <x v="1"/>
    <n v="9"/>
    <n v="7"/>
    <n v="0"/>
    <n v="7"/>
    <x v="1"/>
    <x v="1"/>
  </r>
  <r>
    <n v="24"/>
    <x v="1"/>
    <x v="1"/>
    <n v="897"/>
    <x v="2"/>
    <n v="10"/>
    <n v="3"/>
    <s v="Medical"/>
    <n v="1"/>
    <n v="1746"/>
    <n v="1"/>
    <s v="Male"/>
    <n v="59"/>
    <n v="3"/>
    <n v="1"/>
    <x v="8"/>
    <n v="4"/>
    <x v="1"/>
    <n v="2145"/>
    <n v="2097"/>
    <n v="0"/>
    <s v="Y"/>
    <x v="1"/>
    <n v="14"/>
    <n v="3"/>
    <n v="4"/>
    <n v="80"/>
    <n v="1"/>
    <n v="3"/>
    <n v="2"/>
    <x v="1"/>
    <n v="2"/>
    <n v="2"/>
    <n v="2"/>
    <n v="1"/>
    <x v="1"/>
    <x v="1"/>
  </r>
  <r>
    <n v="30"/>
    <x v="0"/>
    <x v="1"/>
    <n v="600"/>
    <x v="2"/>
    <n v="8"/>
    <n v="3"/>
    <s v="Human Resources"/>
    <n v="1"/>
    <n v="1747"/>
    <n v="3"/>
    <s v="Female"/>
    <n v="66"/>
    <n v="2"/>
    <n v="1"/>
    <x v="8"/>
    <n v="4"/>
    <x v="2"/>
    <n v="2180"/>
    <n v="9732"/>
    <n v="6"/>
    <s v="Y"/>
    <x v="1"/>
    <n v="11"/>
    <n v="3"/>
    <n v="3"/>
    <n v="80"/>
    <n v="1"/>
    <n v="6"/>
    <n v="0"/>
    <x v="2"/>
    <n v="4"/>
    <n v="2"/>
    <n v="1"/>
    <n v="2"/>
    <x v="1"/>
    <x v="2"/>
  </r>
  <r>
    <n v="31"/>
    <x v="1"/>
    <x v="0"/>
    <n v="1003"/>
    <x v="0"/>
    <n v="5"/>
    <n v="3"/>
    <s v="Technical Degree"/>
    <n v="1"/>
    <n v="1749"/>
    <n v="1"/>
    <s v="Male"/>
    <n v="51"/>
    <n v="3"/>
    <n v="2"/>
    <x v="0"/>
    <n v="3"/>
    <x v="1"/>
    <n v="8346"/>
    <n v="20943"/>
    <n v="1"/>
    <s v="Y"/>
    <x v="1"/>
    <n v="19"/>
    <n v="3"/>
    <n v="3"/>
    <n v="80"/>
    <n v="1"/>
    <n v="6"/>
    <n v="3"/>
    <x v="1"/>
    <n v="5"/>
    <n v="2"/>
    <n v="0"/>
    <n v="2"/>
    <x v="0"/>
    <x v="1"/>
  </r>
  <r>
    <n v="27"/>
    <x v="1"/>
    <x v="0"/>
    <n v="1054"/>
    <x v="1"/>
    <n v="8"/>
    <n v="3"/>
    <s v="Medical"/>
    <n v="1"/>
    <n v="1751"/>
    <n v="3"/>
    <s v="Female"/>
    <n v="67"/>
    <n v="3"/>
    <n v="1"/>
    <x v="1"/>
    <n v="4"/>
    <x v="0"/>
    <n v="3445"/>
    <n v="6152"/>
    <n v="1"/>
    <s v="Y"/>
    <x v="1"/>
    <n v="11"/>
    <n v="3"/>
    <n v="3"/>
    <n v="80"/>
    <n v="0"/>
    <n v="6"/>
    <n v="5"/>
    <x v="2"/>
    <n v="6"/>
    <n v="2"/>
    <n v="1"/>
    <n v="4"/>
    <x v="1"/>
    <x v="2"/>
  </r>
  <r>
    <n v="29"/>
    <x v="0"/>
    <x v="0"/>
    <n v="428"/>
    <x v="0"/>
    <n v="9"/>
    <n v="3"/>
    <s v="Marketing"/>
    <n v="1"/>
    <n v="1752"/>
    <n v="2"/>
    <s v="Female"/>
    <n v="52"/>
    <n v="1"/>
    <n v="1"/>
    <x v="6"/>
    <n v="2"/>
    <x v="0"/>
    <n v="2760"/>
    <n v="14630"/>
    <n v="1"/>
    <s v="Y"/>
    <x v="1"/>
    <n v="13"/>
    <n v="3"/>
    <n v="3"/>
    <n v="80"/>
    <n v="0"/>
    <n v="2"/>
    <n v="3"/>
    <x v="1"/>
    <n v="2"/>
    <n v="2"/>
    <n v="2"/>
    <n v="2"/>
    <x v="1"/>
    <x v="1"/>
  </r>
  <r>
    <n v="29"/>
    <x v="1"/>
    <x v="1"/>
    <n v="461"/>
    <x v="1"/>
    <n v="1"/>
    <n v="3"/>
    <s v="Life Sciences"/>
    <n v="1"/>
    <n v="1753"/>
    <n v="4"/>
    <s v="Male"/>
    <n v="70"/>
    <n v="4"/>
    <n v="2"/>
    <x v="4"/>
    <n v="3"/>
    <x v="0"/>
    <n v="6294"/>
    <n v="23060"/>
    <n v="8"/>
    <s v="Y"/>
    <x v="0"/>
    <n v="12"/>
    <n v="3"/>
    <n v="4"/>
    <n v="80"/>
    <n v="0"/>
    <n v="10"/>
    <n v="5"/>
    <x v="3"/>
    <n v="3"/>
    <n v="2"/>
    <n v="0"/>
    <n v="2"/>
    <x v="1"/>
    <x v="3"/>
  </r>
  <r>
    <n v="30"/>
    <x v="1"/>
    <x v="0"/>
    <n v="979"/>
    <x v="0"/>
    <n v="15"/>
    <n v="2"/>
    <s v="Marketing"/>
    <n v="1"/>
    <n v="1754"/>
    <n v="3"/>
    <s v="Male"/>
    <n v="94"/>
    <n v="2"/>
    <n v="3"/>
    <x v="0"/>
    <n v="1"/>
    <x v="2"/>
    <n v="7140"/>
    <n v="3088"/>
    <n v="2"/>
    <s v="Y"/>
    <x v="1"/>
    <n v="11"/>
    <n v="3"/>
    <n v="1"/>
    <n v="80"/>
    <n v="1"/>
    <n v="12"/>
    <n v="2"/>
    <x v="1"/>
    <n v="7"/>
    <n v="7"/>
    <n v="1"/>
    <n v="7"/>
    <x v="1"/>
    <x v="1"/>
  </r>
  <r>
    <n v="34"/>
    <x v="1"/>
    <x v="0"/>
    <n v="181"/>
    <x v="1"/>
    <n v="2"/>
    <n v="4"/>
    <s v="Medical"/>
    <n v="1"/>
    <n v="1755"/>
    <n v="4"/>
    <s v="Male"/>
    <n v="97"/>
    <n v="4"/>
    <n v="1"/>
    <x v="1"/>
    <n v="4"/>
    <x v="1"/>
    <n v="2932"/>
    <n v="5586"/>
    <n v="0"/>
    <s v="Y"/>
    <x v="0"/>
    <n v="14"/>
    <n v="3"/>
    <n v="1"/>
    <n v="80"/>
    <n v="3"/>
    <n v="6"/>
    <n v="3"/>
    <x v="1"/>
    <n v="5"/>
    <n v="0"/>
    <n v="1"/>
    <n v="2"/>
    <x v="0"/>
    <x v="1"/>
  </r>
  <r>
    <n v="33"/>
    <x v="1"/>
    <x v="2"/>
    <n v="1283"/>
    <x v="0"/>
    <n v="2"/>
    <n v="3"/>
    <s v="Marketing"/>
    <n v="1"/>
    <n v="1756"/>
    <n v="4"/>
    <s v="Female"/>
    <n v="62"/>
    <n v="3"/>
    <n v="2"/>
    <x v="0"/>
    <n v="2"/>
    <x v="0"/>
    <n v="5147"/>
    <n v="10697"/>
    <n v="8"/>
    <s v="Y"/>
    <x v="1"/>
    <n v="15"/>
    <n v="3"/>
    <n v="4"/>
    <n v="80"/>
    <n v="0"/>
    <n v="13"/>
    <n v="2"/>
    <x v="2"/>
    <n v="11"/>
    <n v="7"/>
    <n v="1"/>
    <n v="7"/>
    <x v="0"/>
    <x v="2"/>
  </r>
  <r>
    <n v="49"/>
    <x v="1"/>
    <x v="0"/>
    <n v="1313"/>
    <x v="0"/>
    <n v="11"/>
    <n v="4"/>
    <s v="Marketing"/>
    <n v="1"/>
    <n v="1757"/>
    <n v="4"/>
    <s v="Female"/>
    <n v="80"/>
    <n v="3"/>
    <n v="2"/>
    <x v="0"/>
    <n v="4"/>
    <x v="0"/>
    <n v="4507"/>
    <n v="8191"/>
    <n v="3"/>
    <s v="Y"/>
    <x v="1"/>
    <n v="12"/>
    <n v="3"/>
    <n v="3"/>
    <n v="80"/>
    <n v="0"/>
    <n v="8"/>
    <n v="1"/>
    <x v="3"/>
    <n v="5"/>
    <n v="1"/>
    <n v="0"/>
    <n v="4"/>
    <x v="0"/>
    <x v="3"/>
  </r>
  <r>
    <n v="33"/>
    <x v="0"/>
    <x v="0"/>
    <n v="211"/>
    <x v="0"/>
    <n v="16"/>
    <n v="3"/>
    <s v="Life Sciences"/>
    <n v="1"/>
    <n v="1758"/>
    <n v="1"/>
    <s v="Female"/>
    <n v="74"/>
    <n v="3"/>
    <n v="3"/>
    <x v="0"/>
    <n v="1"/>
    <x v="0"/>
    <n v="8564"/>
    <n v="10092"/>
    <n v="2"/>
    <s v="Y"/>
    <x v="0"/>
    <n v="20"/>
    <n v="4"/>
    <n v="3"/>
    <n v="80"/>
    <n v="0"/>
    <n v="11"/>
    <n v="2"/>
    <x v="2"/>
    <n v="0"/>
    <n v="0"/>
    <n v="0"/>
    <n v="0"/>
    <x v="0"/>
    <x v="2"/>
  </r>
  <r>
    <n v="38"/>
    <x v="1"/>
    <x v="1"/>
    <n v="594"/>
    <x v="1"/>
    <n v="2"/>
    <n v="2"/>
    <s v="Medical"/>
    <n v="1"/>
    <n v="1760"/>
    <n v="3"/>
    <s v="Female"/>
    <n v="75"/>
    <n v="2"/>
    <n v="1"/>
    <x v="2"/>
    <n v="2"/>
    <x v="1"/>
    <n v="2468"/>
    <n v="15963"/>
    <n v="4"/>
    <s v="Y"/>
    <x v="1"/>
    <n v="14"/>
    <n v="3"/>
    <n v="2"/>
    <n v="80"/>
    <n v="1"/>
    <n v="9"/>
    <n v="4"/>
    <x v="2"/>
    <n v="6"/>
    <n v="1"/>
    <n v="0"/>
    <n v="5"/>
    <x v="0"/>
    <x v="2"/>
  </r>
  <r>
    <n v="31"/>
    <x v="0"/>
    <x v="0"/>
    <n v="1079"/>
    <x v="0"/>
    <n v="16"/>
    <n v="4"/>
    <s v="Marketing"/>
    <n v="1"/>
    <n v="1761"/>
    <n v="1"/>
    <s v="Male"/>
    <n v="70"/>
    <n v="3"/>
    <n v="3"/>
    <x v="0"/>
    <n v="3"/>
    <x v="1"/>
    <n v="8161"/>
    <n v="19002"/>
    <n v="2"/>
    <s v="Y"/>
    <x v="1"/>
    <n v="13"/>
    <n v="3"/>
    <n v="1"/>
    <n v="80"/>
    <n v="3"/>
    <n v="10"/>
    <n v="2"/>
    <x v="1"/>
    <n v="1"/>
    <n v="0"/>
    <n v="0"/>
    <n v="0"/>
    <x v="0"/>
    <x v="1"/>
  </r>
  <r>
    <n v="29"/>
    <x v="1"/>
    <x v="0"/>
    <n v="590"/>
    <x v="1"/>
    <n v="4"/>
    <n v="3"/>
    <s v="Technical Degree"/>
    <n v="1"/>
    <n v="1762"/>
    <n v="4"/>
    <s v="Female"/>
    <n v="91"/>
    <n v="2"/>
    <n v="1"/>
    <x v="1"/>
    <n v="1"/>
    <x v="2"/>
    <n v="2109"/>
    <n v="10007"/>
    <n v="1"/>
    <s v="Y"/>
    <x v="1"/>
    <n v="13"/>
    <n v="3"/>
    <n v="3"/>
    <n v="80"/>
    <n v="1"/>
    <n v="1"/>
    <n v="2"/>
    <x v="1"/>
    <n v="1"/>
    <n v="0"/>
    <n v="0"/>
    <n v="0"/>
    <x v="1"/>
    <x v="1"/>
  </r>
  <r>
    <n v="30"/>
    <x v="1"/>
    <x v="0"/>
    <n v="305"/>
    <x v="1"/>
    <n v="16"/>
    <n v="3"/>
    <s v="Life Sciences"/>
    <n v="1"/>
    <n v="1763"/>
    <n v="3"/>
    <s v="Male"/>
    <n v="58"/>
    <n v="4"/>
    <n v="2"/>
    <x v="4"/>
    <n v="3"/>
    <x v="1"/>
    <n v="5294"/>
    <n v="9128"/>
    <n v="3"/>
    <s v="Y"/>
    <x v="1"/>
    <n v="16"/>
    <n v="3"/>
    <n v="3"/>
    <n v="80"/>
    <n v="1"/>
    <n v="10"/>
    <n v="3"/>
    <x v="1"/>
    <n v="7"/>
    <n v="0"/>
    <n v="1"/>
    <n v="7"/>
    <x v="1"/>
    <x v="1"/>
  </r>
  <r>
    <n v="32"/>
    <x v="1"/>
    <x v="2"/>
    <n v="953"/>
    <x v="1"/>
    <n v="5"/>
    <n v="4"/>
    <s v="Technical Degree"/>
    <n v="1"/>
    <n v="1764"/>
    <n v="2"/>
    <s v="Male"/>
    <n v="65"/>
    <n v="3"/>
    <n v="1"/>
    <x v="1"/>
    <n v="2"/>
    <x v="0"/>
    <n v="2718"/>
    <n v="17674"/>
    <n v="2"/>
    <s v="Y"/>
    <x v="1"/>
    <n v="14"/>
    <n v="3"/>
    <n v="2"/>
    <n v="80"/>
    <n v="0"/>
    <n v="12"/>
    <n v="3"/>
    <x v="1"/>
    <n v="7"/>
    <n v="7"/>
    <n v="0"/>
    <n v="7"/>
    <x v="0"/>
    <x v="1"/>
  </r>
  <r>
    <n v="38"/>
    <x v="1"/>
    <x v="0"/>
    <n v="833"/>
    <x v="1"/>
    <n v="18"/>
    <n v="3"/>
    <s v="Medical"/>
    <n v="1"/>
    <n v="1766"/>
    <n v="2"/>
    <s v="Male"/>
    <n v="60"/>
    <n v="1"/>
    <n v="2"/>
    <x v="4"/>
    <n v="4"/>
    <x v="1"/>
    <n v="5811"/>
    <n v="24539"/>
    <n v="3"/>
    <s v="Y"/>
    <x v="0"/>
    <n v="16"/>
    <n v="3"/>
    <n v="3"/>
    <n v="80"/>
    <n v="1"/>
    <n v="15"/>
    <n v="2"/>
    <x v="1"/>
    <n v="1"/>
    <n v="0"/>
    <n v="1"/>
    <n v="0"/>
    <x v="0"/>
    <x v="1"/>
  </r>
  <r>
    <n v="43"/>
    <x v="0"/>
    <x v="1"/>
    <n v="807"/>
    <x v="1"/>
    <n v="17"/>
    <n v="3"/>
    <s v="Technical Degree"/>
    <n v="1"/>
    <n v="1767"/>
    <n v="3"/>
    <s v="Male"/>
    <n v="38"/>
    <n v="2"/>
    <n v="1"/>
    <x v="1"/>
    <n v="3"/>
    <x v="1"/>
    <n v="2437"/>
    <n v="15587"/>
    <n v="9"/>
    <s v="Y"/>
    <x v="0"/>
    <n v="16"/>
    <n v="3"/>
    <n v="4"/>
    <n v="80"/>
    <n v="1"/>
    <n v="6"/>
    <n v="4"/>
    <x v="1"/>
    <n v="1"/>
    <n v="0"/>
    <n v="0"/>
    <n v="0"/>
    <x v="0"/>
    <x v="1"/>
  </r>
  <r>
    <n v="42"/>
    <x v="1"/>
    <x v="0"/>
    <n v="855"/>
    <x v="1"/>
    <n v="12"/>
    <n v="3"/>
    <s v="Medical"/>
    <n v="1"/>
    <n v="1768"/>
    <n v="2"/>
    <s v="Male"/>
    <n v="57"/>
    <n v="3"/>
    <n v="1"/>
    <x v="2"/>
    <n v="2"/>
    <x v="2"/>
    <n v="2766"/>
    <n v="8952"/>
    <n v="8"/>
    <s v="Y"/>
    <x v="1"/>
    <n v="22"/>
    <n v="4"/>
    <n v="2"/>
    <n v="80"/>
    <n v="3"/>
    <n v="7"/>
    <n v="6"/>
    <x v="2"/>
    <n v="5"/>
    <n v="3"/>
    <n v="0"/>
    <n v="4"/>
    <x v="0"/>
    <x v="2"/>
  </r>
  <r>
    <n v="55"/>
    <x v="1"/>
    <x v="0"/>
    <n v="478"/>
    <x v="1"/>
    <n v="2"/>
    <n v="3"/>
    <s v="Medical"/>
    <n v="1"/>
    <n v="1770"/>
    <n v="3"/>
    <s v="Male"/>
    <n v="60"/>
    <n v="2"/>
    <n v="5"/>
    <x v="7"/>
    <n v="1"/>
    <x v="1"/>
    <n v="19038"/>
    <n v="19805"/>
    <n v="8"/>
    <s v="Y"/>
    <x v="1"/>
    <n v="12"/>
    <n v="3"/>
    <n v="2"/>
    <n v="80"/>
    <n v="3"/>
    <n v="34"/>
    <n v="2"/>
    <x v="1"/>
    <n v="1"/>
    <n v="0"/>
    <n v="0"/>
    <n v="0"/>
    <x v="2"/>
    <x v="1"/>
  </r>
  <r>
    <n v="33"/>
    <x v="1"/>
    <x v="2"/>
    <n v="775"/>
    <x v="1"/>
    <n v="4"/>
    <n v="3"/>
    <s v="Technical Degree"/>
    <n v="1"/>
    <n v="1771"/>
    <n v="4"/>
    <s v="Male"/>
    <n v="90"/>
    <n v="3"/>
    <n v="2"/>
    <x v="1"/>
    <n v="2"/>
    <x v="2"/>
    <n v="3055"/>
    <n v="6194"/>
    <n v="5"/>
    <s v="Y"/>
    <x v="1"/>
    <n v="15"/>
    <n v="3"/>
    <n v="4"/>
    <n v="80"/>
    <n v="2"/>
    <n v="11"/>
    <n v="2"/>
    <x v="2"/>
    <n v="9"/>
    <n v="8"/>
    <n v="1"/>
    <n v="7"/>
    <x v="0"/>
    <x v="2"/>
  </r>
  <r>
    <n v="41"/>
    <x v="1"/>
    <x v="0"/>
    <n v="548"/>
    <x v="1"/>
    <n v="9"/>
    <n v="4"/>
    <s v="Life Sciences"/>
    <n v="1"/>
    <n v="1772"/>
    <n v="3"/>
    <s v="Male"/>
    <n v="94"/>
    <n v="3"/>
    <n v="1"/>
    <x v="2"/>
    <n v="1"/>
    <x v="2"/>
    <n v="2289"/>
    <n v="20520"/>
    <n v="1"/>
    <s v="Y"/>
    <x v="1"/>
    <n v="20"/>
    <n v="4"/>
    <n v="2"/>
    <n v="80"/>
    <n v="2"/>
    <n v="5"/>
    <n v="2"/>
    <x v="1"/>
    <n v="5"/>
    <n v="3"/>
    <n v="0"/>
    <n v="4"/>
    <x v="0"/>
    <x v="1"/>
  </r>
  <r>
    <n v="34"/>
    <x v="1"/>
    <x v="2"/>
    <n v="1375"/>
    <x v="0"/>
    <n v="10"/>
    <n v="3"/>
    <s v="Life Sciences"/>
    <n v="1"/>
    <n v="1774"/>
    <n v="4"/>
    <s v="Male"/>
    <n v="87"/>
    <n v="3"/>
    <n v="2"/>
    <x v="0"/>
    <n v="3"/>
    <x v="2"/>
    <n v="4001"/>
    <n v="12313"/>
    <n v="1"/>
    <s v="Y"/>
    <x v="0"/>
    <n v="14"/>
    <n v="3"/>
    <n v="3"/>
    <n v="80"/>
    <n v="1"/>
    <n v="15"/>
    <n v="3"/>
    <x v="1"/>
    <n v="15"/>
    <n v="14"/>
    <n v="0"/>
    <n v="7"/>
    <x v="0"/>
    <x v="1"/>
  </r>
  <r>
    <n v="53"/>
    <x v="1"/>
    <x v="2"/>
    <n v="661"/>
    <x v="1"/>
    <n v="1"/>
    <n v="4"/>
    <s v="Medical"/>
    <n v="1"/>
    <n v="1775"/>
    <n v="1"/>
    <s v="Female"/>
    <n v="60"/>
    <n v="2"/>
    <n v="4"/>
    <x v="3"/>
    <n v="3"/>
    <x v="1"/>
    <n v="12965"/>
    <n v="22308"/>
    <n v="4"/>
    <s v="Y"/>
    <x v="0"/>
    <n v="20"/>
    <n v="4"/>
    <n v="4"/>
    <n v="80"/>
    <n v="3"/>
    <n v="27"/>
    <n v="2"/>
    <x v="2"/>
    <n v="3"/>
    <n v="2"/>
    <n v="0"/>
    <n v="2"/>
    <x v="2"/>
    <x v="2"/>
  </r>
  <r>
    <n v="43"/>
    <x v="1"/>
    <x v="0"/>
    <n v="244"/>
    <x v="2"/>
    <n v="2"/>
    <n v="3"/>
    <s v="Life Sciences"/>
    <n v="1"/>
    <n v="1778"/>
    <n v="2"/>
    <s v="Male"/>
    <n v="97"/>
    <n v="3"/>
    <n v="1"/>
    <x v="8"/>
    <n v="4"/>
    <x v="0"/>
    <n v="3539"/>
    <n v="5033"/>
    <n v="0"/>
    <s v="Y"/>
    <x v="1"/>
    <n v="13"/>
    <n v="3"/>
    <n v="2"/>
    <n v="80"/>
    <n v="0"/>
    <n v="10"/>
    <n v="5"/>
    <x v="1"/>
    <n v="9"/>
    <n v="7"/>
    <n v="1"/>
    <n v="8"/>
    <x v="0"/>
    <x v="1"/>
  </r>
  <r>
    <n v="34"/>
    <x v="1"/>
    <x v="0"/>
    <n v="511"/>
    <x v="0"/>
    <n v="3"/>
    <n v="2"/>
    <s v="Life Sciences"/>
    <n v="1"/>
    <n v="1779"/>
    <n v="4"/>
    <s v="Female"/>
    <n v="32"/>
    <n v="1"/>
    <n v="2"/>
    <x v="0"/>
    <n v="4"/>
    <x v="0"/>
    <n v="6029"/>
    <n v="25353"/>
    <n v="5"/>
    <s v="Y"/>
    <x v="1"/>
    <n v="12"/>
    <n v="3"/>
    <n v="1"/>
    <n v="80"/>
    <n v="0"/>
    <n v="6"/>
    <n v="3"/>
    <x v="1"/>
    <n v="2"/>
    <n v="2"/>
    <n v="2"/>
    <n v="2"/>
    <x v="0"/>
    <x v="1"/>
  </r>
  <r>
    <n v="21"/>
    <x v="0"/>
    <x v="0"/>
    <n v="337"/>
    <x v="0"/>
    <n v="7"/>
    <n v="1"/>
    <s v="Marketing"/>
    <n v="1"/>
    <n v="1780"/>
    <n v="2"/>
    <s v="Male"/>
    <n v="31"/>
    <n v="3"/>
    <n v="1"/>
    <x v="6"/>
    <n v="2"/>
    <x v="0"/>
    <n v="2679"/>
    <n v="4567"/>
    <n v="1"/>
    <s v="Y"/>
    <x v="1"/>
    <n v="13"/>
    <n v="3"/>
    <n v="2"/>
    <n v="80"/>
    <n v="0"/>
    <n v="1"/>
    <n v="3"/>
    <x v="1"/>
    <n v="1"/>
    <n v="0"/>
    <n v="1"/>
    <n v="0"/>
    <x v="1"/>
    <x v="1"/>
  </r>
  <r>
    <n v="38"/>
    <x v="1"/>
    <x v="0"/>
    <n v="1153"/>
    <x v="1"/>
    <n v="6"/>
    <n v="2"/>
    <s v="Other"/>
    <n v="1"/>
    <n v="1782"/>
    <n v="4"/>
    <s v="Female"/>
    <n v="40"/>
    <n v="2"/>
    <n v="1"/>
    <x v="2"/>
    <n v="3"/>
    <x v="1"/>
    <n v="3702"/>
    <n v="16376"/>
    <n v="1"/>
    <s v="Y"/>
    <x v="1"/>
    <n v="11"/>
    <n v="3"/>
    <n v="2"/>
    <n v="80"/>
    <n v="1"/>
    <n v="5"/>
    <n v="3"/>
    <x v="1"/>
    <n v="5"/>
    <n v="4"/>
    <n v="0"/>
    <n v="4"/>
    <x v="0"/>
    <x v="1"/>
  </r>
  <r>
    <n v="22"/>
    <x v="0"/>
    <x v="0"/>
    <n v="1294"/>
    <x v="1"/>
    <n v="8"/>
    <n v="1"/>
    <s v="Medical"/>
    <n v="1"/>
    <n v="1783"/>
    <n v="3"/>
    <s v="Female"/>
    <n v="79"/>
    <n v="3"/>
    <n v="1"/>
    <x v="2"/>
    <n v="1"/>
    <x v="1"/>
    <n v="2398"/>
    <n v="15999"/>
    <n v="1"/>
    <s v="Y"/>
    <x v="0"/>
    <n v="17"/>
    <n v="3"/>
    <n v="3"/>
    <n v="80"/>
    <n v="0"/>
    <n v="1"/>
    <n v="6"/>
    <x v="1"/>
    <n v="1"/>
    <n v="0"/>
    <n v="0"/>
    <n v="0"/>
    <x v="1"/>
    <x v="1"/>
  </r>
  <r>
    <n v="31"/>
    <x v="1"/>
    <x v="0"/>
    <n v="196"/>
    <x v="0"/>
    <n v="29"/>
    <n v="4"/>
    <s v="Marketing"/>
    <n v="1"/>
    <n v="1784"/>
    <n v="1"/>
    <s v="Female"/>
    <n v="91"/>
    <n v="2"/>
    <n v="2"/>
    <x v="0"/>
    <n v="4"/>
    <x v="1"/>
    <n v="5468"/>
    <n v="13402"/>
    <n v="1"/>
    <s v="Y"/>
    <x v="1"/>
    <n v="14"/>
    <n v="3"/>
    <n v="1"/>
    <n v="80"/>
    <n v="2"/>
    <n v="13"/>
    <n v="3"/>
    <x v="1"/>
    <n v="12"/>
    <n v="7"/>
    <n v="5"/>
    <n v="7"/>
    <x v="0"/>
    <x v="1"/>
  </r>
  <r>
    <n v="51"/>
    <x v="1"/>
    <x v="0"/>
    <n v="942"/>
    <x v="1"/>
    <n v="3"/>
    <n v="3"/>
    <s v="Technical Degree"/>
    <n v="1"/>
    <n v="1786"/>
    <n v="1"/>
    <s v="Female"/>
    <n v="53"/>
    <n v="3"/>
    <n v="3"/>
    <x v="5"/>
    <n v="3"/>
    <x v="1"/>
    <n v="13116"/>
    <n v="22984"/>
    <n v="2"/>
    <s v="Y"/>
    <x v="1"/>
    <n v="11"/>
    <n v="3"/>
    <n v="4"/>
    <n v="80"/>
    <n v="0"/>
    <n v="15"/>
    <n v="2"/>
    <x v="1"/>
    <n v="2"/>
    <n v="2"/>
    <n v="2"/>
    <n v="2"/>
    <x v="2"/>
    <x v="1"/>
  </r>
  <r>
    <n v="37"/>
    <x v="1"/>
    <x v="0"/>
    <n v="589"/>
    <x v="0"/>
    <n v="9"/>
    <n v="2"/>
    <s v="Marketing"/>
    <n v="1"/>
    <n v="1787"/>
    <n v="2"/>
    <s v="Male"/>
    <n v="46"/>
    <n v="2"/>
    <n v="2"/>
    <x v="0"/>
    <n v="2"/>
    <x v="1"/>
    <n v="4189"/>
    <n v="8800"/>
    <n v="1"/>
    <s v="Y"/>
    <x v="1"/>
    <n v="14"/>
    <n v="3"/>
    <n v="1"/>
    <n v="80"/>
    <n v="2"/>
    <n v="5"/>
    <n v="2"/>
    <x v="1"/>
    <n v="5"/>
    <n v="2"/>
    <n v="0"/>
    <n v="3"/>
    <x v="0"/>
    <x v="1"/>
  </r>
  <r>
    <n v="46"/>
    <x v="1"/>
    <x v="0"/>
    <n v="734"/>
    <x v="1"/>
    <n v="2"/>
    <n v="4"/>
    <s v="Medical"/>
    <n v="1"/>
    <n v="1789"/>
    <n v="3"/>
    <s v="Male"/>
    <n v="46"/>
    <n v="3"/>
    <n v="5"/>
    <x v="7"/>
    <n v="4"/>
    <x v="2"/>
    <n v="19328"/>
    <n v="14218"/>
    <n v="7"/>
    <s v="Y"/>
    <x v="0"/>
    <n v="17"/>
    <n v="3"/>
    <n v="3"/>
    <n v="80"/>
    <n v="1"/>
    <n v="24"/>
    <n v="3"/>
    <x v="1"/>
    <n v="2"/>
    <n v="1"/>
    <n v="2"/>
    <n v="2"/>
    <x v="0"/>
    <x v="1"/>
  </r>
  <r>
    <n v="36"/>
    <x v="1"/>
    <x v="0"/>
    <n v="1383"/>
    <x v="1"/>
    <n v="10"/>
    <n v="3"/>
    <s v="Life Sciences"/>
    <n v="1"/>
    <n v="1790"/>
    <n v="4"/>
    <s v="Male"/>
    <n v="90"/>
    <n v="3"/>
    <n v="3"/>
    <x v="4"/>
    <n v="1"/>
    <x v="1"/>
    <n v="8321"/>
    <n v="25949"/>
    <n v="7"/>
    <s v="Y"/>
    <x v="0"/>
    <n v="13"/>
    <n v="3"/>
    <n v="4"/>
    <n v="80"/>
    <n v="1"/>
    <n v="15"/>
    <n v="1"/>
    <x v="1"/>
    <n v="12"/>
    <n v="8"/>
    <n v="5"/>
    <n v="7"/>
    <x v="0"/>
    <x v="1"/>
  </r>
  <r>
    <n v="44"/>
    <x v="0"/>
    <x v="1"/>
    <n v="429"/>
    <x v="1"/>
    <n v="1"/>
    <n v="2"/>
    <s v="Medical"/>
    <n v="1"/>
    <n v="1792"/>
    <n v="3"/>
    <s v="Male"/>
    <n v="99"/>
    <n v="3"/>
    <n v="1"/>
    <x v="1"/>
    <n v="2"/>
    <x v="2"/>
    <n v="2342"/>
    <n v="11092"/>
    <n v="1"/>
    <s v="Y"/>
    <x v="0"/>
    <n v="12"/>
    <n v="3"/>
    <n v="3"/>
    <n v="80"/>
    <n v="3"/>
    <n v="6"/>
    <n v="2"/>
    <x v="2"/>
    <n v="5"/>
    <n v="3"/>
    <n v="2"/>
    <n v="3"/>
    <x v="0"/>
    <x v="2"/>
  </r>
  <r>
    <n v="37"/>
    <x v="1"/>
    <x v="0"/>
    <n v="1239"/>
    <x v="2"/>
    <n v="8"/>
    <n v="2"/>
    <s v="Other"/>
    <n v="1"/>
    <n v="1794"/>
    <n v="3"/>
    <s v="Male"/>
    <n v="89"/>
    <n v="3"/>
    <n v="2"/>
    <x v="8"/>
    <n v="2"/>
    <x v="2"/>
    <n v="4071"/>
    <n v="12832"/>
    <n v="2"/>
    <s v="Y"/>
    <x v="1"/>
    <n v="13"/>
    <n v="3"/>
    <n v="3"/>
    <n v="80"/>
    <n v="0"/>
    <n v="19"/>
    <n v="4"/>
    <x v="2"/>
    <n v="10"/>
    <n v="0"/>
    <n v="4"/>
    <n v="7"/>
    <x v="0"/>
    <x v="2"/>
  </r>
  <r>
    <n v="35"/>
    <x v="0"/>
    <x v="0"/>
    <n v="303"/>
    <x v="0"/>
    <n v="27"/>
    <n v="3"/>
    <s v="Life Sciences"/>
    <n v="1"/>
    <n v="1797"/>
    <n v="3"/>
    <s v="Male"/>
    <n v="84"/>
    <n v="3"/>
    <n v="2"/>
    <x v="0"/>
    <n v="4"/>
    <x v="0"/>
    <n v="5813"/>
    <n v="13492"/>
    <n v="1"/>
    <s v="Y"/>
    <x v="0"/>
    <n v="18"/>
    <n v="3"/>
    <n v="4"/>
    <n v="80"/>
    <n v="0"/>
    <n v="10"/>
    <n v="2"/>
    <x v="1"/>
    <n v="10"/>
    <n v="7"/>
    <n v="7"/>
    <n v="7"/>
    <x v="0"/>
    <x v="1"/>
  </r>
  <r>
    <n v="33"/>
    <x v="1"/>
    <x v="0"/>
    <n v="867"/>
    <x v="1"/>
    <n v="8"/>
    <n v="4"/>
    <s v="Life Sciences"/>
    <n v="1"/>
    <n v="1798"/>
    <n v="4"/>
    <s v="Male"/>
    <n v="90"/>
    <n v="4"/>
    <n v="1"/>
    <x v="1"/>
    <n v="1"/>
    <x v="1"/>
    <n v="3143"/>
    <n v="6076"/>
    <n v="6"/>
    <s v="Y"/>
    <x v="1"/>
    <n v="19"/>
    <n v="3"/>
    <n v="2"/>
    <n v="80"/>
    <n v="1"/>
    <n v="14"/>
    <n v="1"/>
    <x v="1"/>
    <n v="10"/>
    <n v="8"/>
    <n v="7"/>
    <n v="6"/>
    <x v="0"/>
    <x v="1"/>
  </r>
  <r>
    <n v="28"/>
    <x v="1"/>
    <x v="0"/>
    <n v="1181"/>
    <x v="1"/>
    <n v="1"/>
    <n v="3"/>
    <s v="Life Sciences"/>
    <n v="1"/>
    <n v="1799"/>
    <n v="3"/>
    <s v="Male"/>
    <n v="82"/>
    <n v="3"/>
    <n v="1"/>
    <x v="1"/>
    <n v="4"/>
    <x v="1"/>
    <n v="2044"/>
    <n v="5531"/>
    <n v="1"/>
    <s v="Y"/>
    <x v="1"/>
    <n v="11"/>
    <n v="3"/>
    <n v="3"/>
    <n v="80"/>
    <n v="1"/>
    <n v="5"/>
    <n v="6"/>
    <x v="3"/>
    <n v="5"/>
    <n v="3"/>
    <n v="0"/>
    <n v="3"/>
    <x v="1"/>
    <x v="3"/>
  </r>
  <r>
    <n v="39"/>
    <x v="1"/>
    <x v="0"/>
    <n v="1253"/>
    <x v="1"/>
    <n v="10"/>
    <n v="1"/>
    <s v="Medical"/>
    <n v="1"/>
    <n v="1800"/>
    <n v="3"/>
    <s v="Male"/>
    <n v="65"/>
    <n v="3"/>
    <n v="3"/>
    <x v="7"/>
    <n v="3"/>
    <x v="0"/>
    <n v="13464"/>
    <n v="7914"/>
    <n v="7"/>
    <s v="Y"/>
    <x v="1"/>
    <n v="21"/>
    <n v="4"/>
    <n v="3"/>
    <n v="80"/>
    <n v="0"/>
    <n v="9"/>
    <n v="3"/>
    <x v="1"/>
    <n v="4"/>
    <n v="3"/>
    <n v="2"/>
    <n v="2"/>
    <x v="0"/>
    <x v="1"/>
  </r>
  <r>
    <n v="46"/>
    <x v="1"/>
    <x v="2"/>
    <n v="849"/>
    <x v="0"/>
    <n v="26"/>
    <n v="2"/>
    <s v="Life Sciences"/>
    <n v="1"/>
    <n v="1801"/>
    <n v="2"/>
    <s v="Male"/>
    <n v="98"/>
    <n v="2"/>
    <n v="2"/>
    <x v="0"/>
    <n v="2"/>
    <x v="0"/>
    <n v="7991"/>
    <n v="25166"/>
    <n v="8"/>
    <s v="Y"/>
    <x v="1"/>
    <n v="15"/>
    <n v="3"/>
    <n v="3"/>
    <n v="80"/>
    <n v="0"/>
    <n v="6"/>
    <n v="3"/>
    <x v="1"/>
    <n v="2"/>
    <n v="2"/>
    <n v="2"/>
    <n v="2"/>
    <x v="0"/>
    <x v="1"/>
  </r>
  <r>
    <n v="40"/>
    <x v="1"/>
    <x v="0"/>
    <n v="616"/>
    <x v="1"/>
    <n v="2"/>
    <n v="2"/>
    <s v="Life Sciences"/>
    <n v="1"/>
    <n v="1802"/>
    <n v="3"/>
    <s v="Female"/>
    <n v="99"/>
    <n v="3"/>
    <n v="1"/>
    <x v="2"/>
    <n v="1"/>
    <x v="1"/>
    <n v="3377"/>
    <n v="25605"/>
    <n v="4"/>
    <s v="Y"/>
    <x v="1"/>
    <n v="17"/>
    <n v="3"/>
    <n v="4"/>
    <n v="80"/>
    <n v="1"/>
    <n v="7"/>
    <n v="5"/>
    <x v="2"/>
    <n v="4"/>
    <n v="3"/>
    <n v="0"/>
    <n v="2"/>
    <x v="0"/>
    <x v="2"/>
  </r>
  <r>
    <n v="42"/>
    <x v="1"/>
    <x v="0"/>
    <n v="1128"/>
    <x v="1"/>
    <n v="13"/>
    <n v="3"/>
    <s v="Medical"/>
    <n v="1"/>
    <n v="1803"/>
    <n v="2"/>
    <s v="Male"/>
    <n v="95"/>
    <n v="4"/>
    <n v="2"/>
    <x v="4"/>
    <n v="1"/>
    <x v="1"/>
    <n v="5538"/>
    <n v="5696"/>
    <n v="5"/>
    <s v="Y"/>
    <x v="1"/>
    <n v="18"/>
    <n v="3"/>
    <n v="3"/>
    <n v="80"/>
    <n v="2"/>
    <n v="10"/>
    <n v="2"/>
    <x v="2"/>
    <n v="0"/>
    <n v="0"/>
    <n v="0"/>
    <n v="0"/>
    <x v="0"/>
    <x v="2"/>
  </r>
  <r>
    <n v="35"/>
    <x v="1"/>
    <x v="2"/>
    <n v="1180"/>
    <x v="1"/>
    <n v="2"/>
    <n v="2"/>
    <s v="Medical"/>
    <n v="1"/>
    <n v="1804"/>
    <n v="2"/>
    <s v="Male"/>
    <n v="90"/>
    <n v="3"/>
    <n v="2"/>
    <x v="3"/>
    <n v="4"/>
    <x v="2"/>
    <n v="5762"/>
    <n v="24442"/>
    <n v="2"/>
    <s v="Y"/>
    <x v="1"/>
    <n v="14"/>
    <n v="3"/>
    <n v="3"/>
    <n v="80"/>
    <n v="1"/>
    <n v="15"/>
    <n v="6"/>
    <x v="1"/>
    <n v="7"/>
    <n v="7"/>
    <n v="1"/>
    <n v="7"/>
    <x v="0"/>
    <x v="1"/>
  </r>
  <r>
    <n v="38"/>
    <x v="1"/>
    <x v="2"/>
    <n v="1336"/>
    <x v="2"/>
    <n v="2"/>
    <n v="3"/>
    <s v="Human Resources"/>
    <n v="1"/>
    <n v="1805"/>
    <n v="1"/>
    <s v="Male"/>
    <n v="100"/>
    <n v="3"/>
    <n v="1"/>
    <x v="8"/>
    <n v="2"/>
    <x v="2"/>
    <n v="2592"/>
    <n v="7129"/>
    <n v="5"/>
    <s v="Y"/>
    <x v="1"/>
    <n v="13"/>
    <n v="3"/>
    <n v="4"/>
    <n v="80"/>
    <n v="3"/>
    <n v="13"/>
    <n v="3"/>
    <x v="1"/>
    <n v="11"/>
    <n v="10"/>
    <n v="3"/>
    <n v="8"/>
    <x v="0"/>
    <x v="1"/>
  </r>
  <r>
    <n v="34"/>
    <x v="0"/>
    <x v="1"/>
    <n v="234"/>
    <x v="1"/>
    <n v="9"/>
    <n v="4"/>
    <s v="Life Sciences"/>
    <n v="1"/>
    <n v="1807"/>
    <n v="4"/>
    <s v="Male"/>
    <n v="93"/>
    <n v="3"/>
    <n v="2"/>
    <x v="2"/>
    <n v="1"/>
    <x v="1"/>
    <n v="5346"/>
    <n v="6208"/>
    <n v="4"/>
    <s v="Y"/>
    <x v="1"/>
    <n v="17"/>
    <n v="3"/>
    <n v="3"/>
    <n v="80"/>
    <n v="1"/>
    <n v="11"/>
    <n v="3"/>
    <x v="2"/>
    <n v="7"/>
    <n v="1"/>
    <n v="0"/>
    <n v="7"/>
    <x v="0"/>
    <x v="2"/>
  </r>
  <r>
    <n v="37"/>
    <x v="0"/>
    <x v="0"/>
    <n v="370"/>
    <x v="1"/>
    <n v="10"/>
    <n v="4"/>
    <s v="Medical"/>
    <n v="1"/>
    <n v="1809"/>
    <n v="4"/>
    <s v="Male"/>
    <n v="58"/>
    <n v="3"/>
    <n v="2"/>
    <x v="3"/>
    <n v="1"/>
    <x v="0"/>
    <n v="4213"/>
    <n v="4992"/>
    <n v="1"/>
    <s v="Y"/>
    <x v="1"/>
    <n v="15"/>
    <n v="3"/>
    <n v="2"/>
    <n v="80"/>
    <n v="0"/>
    <n v="10"/>
    <n v="4"/>
    <x v="0"/>
    <n v="10"/>
    <n v="3"/>
    <n v="0"/>
    <n v="8"/>
    <x v="0"/>
    <x v="0"/>
  </r>
  <r>
    <n v="39"/>
    <x v="1"/>
    <x v="1"/>
    <n v="766"/>
    <x v="0"/>
    <n v="20"/>
    <n v="3"/>
    <s v="Life Sciences"/>
    <n v="1"/>
    <n v="1812"/>
    <n v="3"/>
    <s v="Male"/>
    <n v="83"/>
    <n v="3"/>
    <n v="2"/>
    <x v="0"/>
    <n v="4"/>
    <x v="2"/>
    <n v="4127"/>
    <n v="19188"/>
    <n v="2"/>
    <s v="Y"/>
    <x v="1"/>
    <n v="18"/>
    <n v="3"/>
    <n v="4"/>
    <n v="80"/>
    <n v="1"/>
    <n v="7"/>
    <n v="6"/>
    <x v="1"/>
    <n v="2"/>
    <n v="1"/>
    <n v="2"/>
    <n v="2"/>
    <x v="0"/>
    <x v="1"/>
  </r>
  <r>
    <n v="43"/>
    <x v="1"/>
    <x v="2"/>
    <n v="343"/>
    <x v="1"/>
    <n v="9"/>
    <n v="3"/>
    <s v="Life Sciences"/>
    <n v="1"/>
    <n v="1813"/>
    <n v="1"/>
    <s v="Male"/>
    <n v="52"/>
    <n v="3"/>
    <n v="1"/>
    <x v="1"/>
    <n v="3"/>
    <x v="0"/>
    <n v="2438"/>
    <n v="24978"/>
    <n v="4"/>
    <s v="Y"/>
    <x v="1"/>
    <n v="13"/>
    <n v="3"/>
    <n v="3"/>
    <n v="80"/>
    <n v="0"/>
    <n v="7"/>
    <n v="2"/>
    <x v="2"/>
    <n v="3"/>
    <n v="2"/>
    <n v="1"/>
    <n v="2"/>
    <x v="0"/>
    <x v="2"/>
  </r>
  <r>
    <n v="41"/>
    <x v="1"/>
    <x v="0"/>
    <n v="447"/>
    <x v="1"/>
    <n v="5"/>
    <n v="3"/>
    <s v="Life Sciences"/>
    <n v="1"/>
    <n v="1814"/>
    <n v="2"/>
    <s v="Male"/>
    <n v="85"/>
    <n v="4"/>
    <n v="2"/>
    <x v="4"/>
    <n v="2"/>
    <x v="0"/>
    <n v="6870"/>
    <n v="15530"/>
    <n v="3"/>
    <s v="Y"/>
    <x v="1"/>
    <n v="12"/>
    <n v="3"/>
    <n v="1"/>
    <n v="80"/>
    <n v="0"/>
    <n v="11"/>
    <n v="3"/>
    <x v="0"/>
    <n v="3"/>
    <n v="2"/>
    <n v="1"/>
    <n v="2"/>
    <x v="0"/>
    <x v="0"/>
  </r>
  <r>
    <n v="41"/>
    <x v="1"/>
    <x v="0"/>
    <n v="796"/>
    <x v="0"/>
    <n v="4"/>
    <n v="1"/>
    <s v="Marketing"/>
    <n v="1"/>
    <n v="1815"/>
    <n v="3"/>
    <s v="Female"/>
    <n v="81"/>
    <n v="3"/>
    <n v="3"/>
    <x v="0"/>
    <n v="3"/>
    <x v="2"/>
    <n v="10447"/>
    <n v="26458"/>
    <n v="0"/>
    <s v="Y"/>
    <x v="0"/>
    <n v="13"/>
    <n v="3"/>
    <n v="4"/>
    <n v="80"/>
    <n v="1"/>
    <n v="23"/>
    <n v="3"/>
    <x v="3"/>
    <n v="22"/>
    <n v="14"/>
    <n v="13"/>
    <n v="5"/>
    <x v="0"/>
    <x v="3"/>
  </r>
  <r>
    <n v="30"/>
    <x v="1"/>
    <x v="0"/>
    <n v="1092"/>
    <x v="1"/>
    <n v="10"/>
    <n v="3"/>
    <s v="Medical"/>
    <n v="1"/>
    <n v="1816"/>
    <n v="1"/>
    <s v="Female"/>
    <n v="64"/>
    <n v="3"/>
    <n v="3"/>
    <x v="3"/>
    <n v="3"/>
    <x v="0"/>
    <n v="9667"/>
    <n v="2739"/>
    <n v="9"/>
    <s v="Y"/>
    <x v="1"/>
    <n v="14"/>
    <n v="3"/>
    <n v="2"/>
    <n v="80"/>
    <n v="0"/>
    <n v="9"/>
    <n v="3"/>
    <x v="1"/>
    <n v="7"/>
    <n v="7"/>
    <n v="0"/>
    <n v="2"/>
    <x v="1"/>
    <x v="1"/>
  </r>
  <r>
    <n v="26"/>
    <x v="0"/>
    <x v="0"/>
    <n v="920"/>
    <x v="2"/>
    <n v="20"/>
    <n v="2"/>
    <s v="Medical"/>
    <n v="1"/>
    <n v="1818"/>
    <n v="4"/>
    <s v="Female"/>
    <n v="69"/>
    <n v="3"/>
    <n v="1"/>
    <x v="8"/>
    <n v="2"/>
    <x v="1"/>
    <n v="2148"/>
    <n v="6889"/>
    <n v="0"/>
    <s v="Y"/>
    <x v="0"/>
    <n v="11"/>
    <n v="3"/>
    <n v="3"/>
    <n v="80"/>
    <n v="0"/>
    <n v="6"/>
    <n v="3"/>
    <x v="1"/>
    <n v="5"/>
    <n v="1"/>
    <n v="1"/>
    <n v="4"/>
    <x v="1"/>
    <x v="1"/>
  </r>
  <r>
    <n v="46"/>
    <x v="0"/>
    <x v="0"/>
    <n v="261"/>
    <x v="1"/>
    <n v="21"/>
    <n v="2"/>
    <s v="Medical"/>
    <n v="1"/>
    <n v="1821"/>
    <n v="4"/>
    <s v="Female"/>
    <n v="66"/>
    <n v="3"/>
    <n v="2"/>
    <x v="4"/>
    <n v="2"/>
    <x v="1"/>
    <n v="8926"/>
    <n v="10842"/>
    <n v="4"/>
    <s v="Y"/>
    <x v="1"/>
    <n v="22"/>
    <n v="4"/>
    <n v="4"/>
    <n v="80"/>
    <n v="1"/>
    <n v="13"/>
    <n v="2"/>
    <x v="3"/>
    <n v="9"/>
    <n v="7"/>
    <n v="3"/>
    <n v="7"/>
    <x v="0"/>
    <x v="3"/>
  </r>
  <r>
    <n v="40"/>
    <x v="1"/>
    <x v="0"/>
    <n v="1194"/>
    <x v="1"/>
    <n v="1"/>
    <n v="3"/>
    <s v="Life Sciences"/>
    <n v="1"/>
    <n v="1822"/>
    <n v="3"/>
    <s v="Female"/>
    <n v="52"/>
    <n v="3"/>
    <n v="2"/>
    <x v="4"/>
    <n v="4"/>
    <x v="2"/>
    <n v="6513"/>
    <n v="9060"/>
    <n v="4"/>
    <s v="Y"/>
    <x v="1"/>
    <n v="17"/>
    <n v="3"/>
    <n v="4"/>
    <n v="80"/>
    <n v="1"/>
    <n v="12"/>
    <n v="3"/>
    <x v="1"/>
    <n v="5"/>
    <n v="3"/>
    <n v="0"/>
    <n v="3"/>
    <x v="0"/>
    <x v="1"/>
  </r>
  <r>
    <n v="34"/>
    <x v="1"/>
    <x v="0"/>
    <n v="810"/>
    <x v="0"/>
    <n v="8"/>
    <n v="2"/>
    <s v="Technical Degree"/>
    <n v="1"/>
    <n v="1823"/>
    <n v="2"/>
    <s v="Male"/>
    <n v="92"/>
    <n v="4"/>
    <n v="2"/>
    <x v="0"/>
    <n v="3"/>
    <x v="1"/>
    <n v="6799"/>
    <n v="22128"/>
    <n v="1"/>
    <s v="Y"/>
    <x v="1"/>
    <n v="21"/>
    <n v="4"/>
    <n v="3"/>
    <n v="80"/>
    <n v="2"/>
    <n v="10"/>
    <n v="5"/>
    <x v="1"/>
    <n v="10"/>
    <n v="8"/>
    <n v="4"/>
    <n v="8"/>
    <x v="0"/>
    <x v="1"/>
  </r>
  <r>
    <n v="58"/>
    <x v="1"/>
    <x v="2"/>
    <n v="350"/>
    <x v="0"/>
    <n v="2"/>
    <n v="3"/>
    <s v="Medical"/>
    <n v="1"/>
    <n v="1824"/>
    <n v="2"/>
    <s v="Male"/>
    <n v="52"/>
    <n v="3"/>
    <n v="4"/>
    <x v="5"/>
    <n v="2"/>
    <x v="2"/>
    <n v="16291"/>
    <n v="22577"/>
    <n v="4"/>
    <s v="Y"/>
    <x v="1"/>
    <n v="22"/>
    <n v="4"/>
    <n v="4"/>
    <n v="80"/>
    <n v="1"/>
    <n v="37"/>
    <n v="0"/>
    <x v="2"/>
    <n v="16"/>
    <n v="9"/>
    <n v="14"/>
    <n v="14"/>
    <x v="2"/>
    <x v="2"/>
  </r>
  <r>
    <n v="35"/>
    <x v="1"/>
    <x v="0"/>
    <n v="185"/>
    <x v="1"/>
    <n v="23"/>
    <n v="4"/>
    <s v="Medical"/>
    <n v="1"/>
    <n v="1826"/>
    <n v="2"/>
    <s v="Male"/>
    <n v="91"/>
    <n v="1"/>
    <n v="1"/>
    <x v="2"/>
    <n v="3"/>
    <x v="1"/>
    <n v="2705"/>
    <n v="9696"/>
    <n v="0"/>
    <s v="Y"/>
    <x v="1"/>
    <n v="16"/>
    <n v="3"/>
    <n v="2"/>
    <n v="80"/>
    <n v="1"/>
    <n v="6"/>
    <n v="2"/>
    <x v="3"/>
    <n v="5"/>
    <n v="4"/>
    <n v="0"/>
    <n v="3"/>
    <x v="0"/>
    <x v="3"/>
  </r>
  <r>
    <n v="47"/>
    <x v="1"/>
    <x v="0"/>
    <n v="1001"/>
    <x v="1"/>
    <n v="4"/>
    <n v="3"/>
    <s v="Life Sciences"/>
    <n v="1"/>
    <n v="1827"/>
    <n v="3"/>
    <s v="Female"/>
    <n v="92"/>
    <n v="2"/>
    <n v="3"/>
    <x v="3"/>
    <n v="2"/>
    <x v="2"/>
    <n v="10333"/>
    <n v="19271"/>
    <n v="8"/>
    <s v="Y"/>
    <x v="0"/>
    <n v="12"/>
    <n v="3"/>
    <n v="3"/>
    <n v="80"/>
    <n v="1"/>
    <n v="28"/>
    <n v="4"/>
    <x v="1"/>
    <n v="22"/>
    <n v="11"/>
    <n v="14"/>
    <n v="10"/>
    <x v="0"/>
    <x v="1"/>
  </r>
  <r>
    <n v="40"/>
    <x v="1"/>
    <x v="0"/>
    <n v="750"/>
    <x v="1"/>
    <n v="12"/>
    <n v="3"/>
    <s v="Life Sciences"/>
    <n v="1"/>
    <n v="1829"/>
    <n v="2"/>
    <s v="Female"/>
    <n v="47"/>
    <n v="3"/>
    <n v="2"/>
    <x v="4"/>
    <n v="1"/>
    <x v="2"/>
    <n v="4448"/>
    <n v="10748"/>
    <n v="2"/>
    <s v="Y"/>
    <x v="1"/>
    <n v="12"/>
    <n v="3"/>
    <n v="2"/>
    <n v="80"/>
    <n v="1"/>
    <n v="15"/>
    <n v="3"/>
    <x v="1"/>
    <n v="7"/>
    <n v="4"/>
    <n v="7"/>
    <n v="7"/>
    <x v="0"/>
    <x v="1"/>
  </r>
  <r>
    <n v="54"/>
    <x v="1"/>
    <x v="0"/>
    <n v="431"/>
    <x v="1"/>
    <n v="7"/>
    <n v="4"/>
    <s v="Medical"/>
    <n v="1"/>
    <n v="1830"/>
    <n v="4"/>
    <s v="Female"/>
    <n v="68"/>
    <n v="3"/>
    <n v="2"/>
    <x v="1"/>
    <n v="4"/>
    <x v="1"/>
    <n v="6854"/>
    <n v="15696"/>
    <n v="4"/>
    <s v="Y"/>
    <x v="1"/>
    <n v="15"/>
    <n v="3"/>
    <n v="2"/>
    <n v="80"/>
    <n v="1"/>
    <n v="14"/>
    <n v="2"/>
    <x v="2"/>
    <n v="7"/>
    <n v="1"/>
    <n v="1"/>
    <n v="7"/>
    <x v="2"/>
    <x v="2"/>
  </r>
  <r>
    <n v="31"/>
    <x v="1"/>
    <x v="1"/>
    <n v="1125"/>
    <x v="0"/>
    <n v="7"/>
    <n v="4"/>
    <s v="Marketing"/>
    <n v="1"/>
    <n v="1833"/>
    <n v="1"/>
    <s v="Female"/>
    <n v="68"/>
    <n v="3"/>
    <n v="3"/>
    <x v="0"/>
    <n v="1"/>
    <x v="1"/>
    <n v="9637"/>
    <n v="8277"/>
    <n v="2"/>
    <s v="Y"/>
    <x v="1"/>
    <n v="14"/>
    <n v="3"/>
    <n v="4"/>
    <n v="80"/>
    <n v="2"/>
    <n v="9"/>
    <n v="3"/>
    <x v="1"/>
    <n v="3"/>
    <n v="2"/>
    <n v="2"/>
    <n v="2"/>
    <x v="0"/>
    <x v="1"/>
  </r>
  <r>
    <n v="28"/>
    <x v="1"/>
    <x v="0"/>
    <n v="1217"/>
    <x v="1"/>
    <n v="1"/>
    <n v="3"/>
    <s v="Medical"/>
    <n v="1"/>
    <n v="1834"/>
    <n v="3"/>
    <s v="Female"/>
    <n v="67"/>
    <n v="3"/>
    <n v="1"/>
    <x v="1"/>
    <n v="1"/>
    <x v="1"/>
    <n v="3591"/>
    <n v="12719"/>
    <n v="1"/>
    <s v="Y"/>
    <x v="1"/>
    <n v="25"/>
    <n v="4"/>
    <n v="3"/>
    <n v="80"/>
    <n v="1"/>
    <n v="3"/>
    <n v="3"/>
    <x v="1"/>
    <n v="3"/>
    <n v="2"/>
    <n v="1"/>
    <n v="2"/>
    <x v="1"/>
    <x v="1"/>
  </r>
  <r>
    <n v="38"/>
    <x v="1"/>
    <x v="0"/>
    <n v="723"/>
    <x v="0"/>
    <n v="2"/>
    <n v="4"/>
    <s v="Marketing"/>
    <n v="1"/>
    <n v="1835"/>
    <n v="2"/>
    <s v="Female"/>
    <n v="77"/>
    <n v="1"/>
    <n v="2"/>
    <x v="6"/>
    <n v="4"/>
    <x v="1"/>
    <n v="5405"/>
    <n v="4244"/>
    <n v="2"/>
    <s v="Y"/>
    <x v="0"/>
    <n v="20"/>
    <n v="4"/>
    <n v="1"/>
    <n v="80"/>
    <n v="2"/>
    <n v="20"/>
    <n v="4"/>
    <x v="2"/>
    <n v="4"/>
    <n v="2"/>
    <n v="0"/>
    <n v="3"/>
    <x v="0"/>
    <x v="2"/>
  </r>
  <r>
    <n v="26"/>
    <x v="1"/>
    <x v="0"/>
    <n v="572"/>
    <x v="0"/>
    <n v="10"/>
    <n v="3"/>
    <s v="Medical"/>
    <n v="1"/>
    <n v="1836"/>
    <n v="3"/>
    <s v="Male"/>
    <n v="46"/>
    <n v="3"/>
    <n v="2"/>
    <x v="0"/>
    <n v="4"/>
    <x v="0"/>
    <n v="4684"/>
    <n v="9125"/>
    <n v="1"/>
    <s v="Y"/>
    <x v="1"/>
    <n v="13"/>
    <n v="3"/>
    <n v="1"/>
    <n v="80"/>
    <n v="0"/>
    <n v="5"/>
    <n v="4"/>
    <x v="1"/>
    <n v="5"/>
    <n v="3"/>
    <n v="1"/>
    <n v="2"/>
    <x v="1"/>
    <x v="1"/>
  </r>
  <r>
    <n v="58"/>
    <x v="1"/>
    <x v="1"/>
    <n v="1216"/>
    <x v="1"/>
    <n v="15"/>
    <n v="4"/>
    <s v="Life Sciences"/>
    <n v="1"/>
    <n v="1837"/>
    <n v="1"/>
    <s v="Male"/>
    <n v="87"/>
    <n v="3"/>
    <n v="4"/>
    <x v="7"/>
    <n v="3"/>
    <x v="1"/>
    <n v="15787"/>
    <n v="21624"/>
    <n v="2"/>
    <s v="Y"/>
    <x v="0"/>
    <n v="14"/>
    <n v="3"/>
    <n v="2"/>
    <n v="80"/>
    <n v="0"/>
    <n v="23"/>
    <n v="3"/>
    <x v="1"/>
    <n v="2"/>
    <n v="2"/>
    <n v="2"/>
    <n v="2"/>
    <x v="2"/>
    <x v="1"/>
  </r>
  <r>
    <n v="18"/>
    <x v="1"/>
    <x v="2"/>
    <n v="1431"/>
    <x v="1"/>
    <n v="14"/>
    <n v="3"/>
    <s v="Medical"/>
    <n v="1"/>
    <n v="1839"/>
    <n v="2"/>
    <s v="Female"/>
    <n v="33"/>
    <n v="3"/>
    <n v="1"/>
    <x v="1"/>
    <n v="3"/>
    <x v="0"/>
    <n v="1514"/>
    <n v="8018"/>
    <n v="1"/>
    <s v="Y"/>
    <x v="1"/>
    <n v="16"/>
    <n v="3"/>
    <n v="3"/>
    <n v="80"/>
    <n v="0"/>
    <n v="0"/>
    <n v="4"/>
    <x v="0"/>
    <n v="0"/>
    <n v="0"/>
    <n v="0"/>
    <n v="0"/>
    <x v="1"/>
    <x v="0"/>
  </r>
  <r>
    <n v="31"/>
    <x v="0"/>
    <x v="0"/>
    <n v="359"/>
    <x v="2"/>
    <n v="18"/>
    <n v="5"/>
    <s v="Human Resources"/>
    <n v="1"/>
    <n v="1842"/>
    <n v="4"/>
    <s v="Male"/>
    <n v="89"/>
    <n v="4"/>
    <n v="1"/>
    <x v="8"/>
    <n v="1"/>
    <x v="1"/>
    <n v="2956"/>
    <n v="21495"/>
    <n v="0"/>
    <s v="Y"/>
    <x v="1"/>
    <n v="17"/>
    <n v="3"/>
    <n v="3"/>
    <n v="80"/>
    <n v="0"/>
    <n v="2"/>
    <n v="4"/>
    <x v="1"/>
    <n v="1"/>
    <n v="0"/>
    <n v="0"/>
    <n v="0"/>
    <x v="0"/>
    <x v="1"/>
  </r>
  <r>
    <n v="29"/>
    <x v="0"/>
    <x v="0"/>
    <n v="350"/>
    <x v="2"/>
    <n v="13"/>
    <n v="3"/>
    <s v="Human Resources"/>
    <n v="1"/>
    <n v="1844"/>
    <n v="1"/>
    <s v="Male"/>
    <n v="56"/>
    <n v="2"/>
    <n v="1"/>
    <x v="8"/>
    <n v="1"/>
    <x v="2"/>
    <n v="2335"/>
    <n v="3157"/>
    <n v="4"/>
    <s v="Y"/>
    <x v="0"/>
    <n v="15"/>
    <n v="3"/>
    <n v="4"/>
    <n v="80"/>
    <n v="3"/>
    <n v="4"/>
    <n v="3"/>
    <x v="1"/>
    <n v="2"/>
    <n v="2"/>
    <n v="2"/>
    <n v="0"/>
    <x v="1"/>
    <x v="1"/>
  </r>
  <r>
    <n v="45"/>
    <x v="1"/>
    <x v="2"/>
    <n v="589"/>
    <x v="0"/>
    <n v="2"/>
    <n v="4"/>
    <s v="Life Sciences"/>
    <n v="1"/>
    <n v="1845"/>
    <n v="3"/>
    <s v="Female"/>
    <n v="67"/>
    <n v="3"/>
    <n v="2"/>
    <x v="0"/>
    <n v="3"/>
    <x v="1"/>
    <n v="5154"/>
    <n v="19665"/>
    <n v="4"/>
    <s v="Y"/>
    <x v="1"/>
    <n v="22"/>
    <n v="4"/>
    <n v="2"/>
    <n v="80"/>
    <n v="2"/>
    <n v="10"/>
    <n v="3"/>
    <x v="3"/>
    <n v="8"/>
    <n v="7"/>
    <n v="5"/>
    <n v="7"/>
    <x v="0"/>
    <x v="3"/>
  </r>
  <r>
    <n v="36"/>
    <x v="1"/>
    <x v="0"/>
    <n v="430"/>
    <x v="1"/>
    <n v="2"/>
    <n v="4"/>
    <s v="Other"/>
    <n v="1"/>
    <n v="1847"/>
    <n v="4"/>
    <s v="Female"/>
    <n v="73"/>
    <n v="3"/>
    <n v="2"/>
    <x v="1"/>
    <n v="2"/>
    <x v="1"/>
    <n v="6962"/>
    <n v="19573"/>
    <n v="4"/>
    <s v="Y"/>
    <x v="0"/>
    <n v="22"/>
    <n v="4"/>
    <n v="4"/>
    <n v="80"/>
    <n v="1"/>
    <n v="15"/>
    <n v="2"/>
    <x v="1"/>
    <n v="1"/>
    <n v="0"/>
    <n v="0"/>
    <n v="0"/>
    <x v="0"/>
    <x v="1"/>
  </r>
  <r>
    <n v="43"/>
    <x v="1"/>
    <x v="1"/>
    <n v="1422"/>
    <x v="0"/>
    <n v="2"/>
    <n v="4"/>
    <s v="Life Sciences"/>
    <n v="1"/>
    <n v="1849"/>
    <n v="1"/>
    <s v="Male"/>
    <n v="92"/>
    <n v="3"/>
    <n v="2"/>
    <x v="0"/>
    <n v="4"/>
    <x v="1"/>
    <n v="5675"/>
    <n v="19246"/>
    <n v="1"/>
    <s v="Y"/>
    <x v="1"/>
    <n v="20"/>
    <n v="4"/>
    <n v="3"/>
    <n v="80"/>
    <n v="1"/>
    <n v="7"/>
    <n v="5"/>
    <x v="1"/>
    <n v="7"/>
    <n v="7"/>
    <n v="7"/>
    <n v="7"/>
    <x v="0"/>
    <x v="1"/>
  </r>
  <r>
    <n v="27"/>
    <x v="1"/>
    <x v="1"/>
    <n v="1297"/>
    <x v="1"/>
    <n v="5"/>
    <n v="2"/>
    <s v="Life Sciences"/>
    <n v="1"/>
    <n v="1850"/>
    <n v="4"/>
    <s v="Female"/>
    <n v="53"/>
    <n v="3"/>
    <n v="1"/>
    <x v="2"/>
    <n v="4"/>
    <x v="0"/>
    <n v="2379"/>
    <n v="19826"/>
    <n v="0"/>
    <s v="Y"/>
    <x v="0"/>
    <n v="14"/>
    <n v="3"/>
    <n v="3"/>
    <n v="80"/>
    <n v="0"/>
    <n v="6"/>
    <n v="3"/>
    <x v="2"/>
    <n v="5"/>
    <n v="4"/>
    <n v="0"/>
    <n v="2"/>
    <x v="1"/>
    <x v="2"/>
  </r>
  <r>
    <n v="29"/>
    <x v="1"/>
    <x v="1"/>
    <n v="574"/>
    <x v="1"/>
    <n v="20"/>
    <n v="1"/>
    <s v="Medical"/>
    <n v="1"/>
    <n v="1852"/>
    <n v="4"/>
    <s v="Male"/>
    <n v="40"/>
    <n v="3"/>
    <n v="1"/>
    <x v="2"/>
    <n v="4"/>
    <x v="1"/>
    <n v="3812"/>
    <n v="7003"/>
    <n v="1"/>
    <s v="Y"/>
    <x v="1"/>
    <n v="13"/>
    <n v="3"/>
    <n v="2"/>
    <n v="80"/>
    <n v="0"/>
    <n v="11"/>
    <n v="3"/>
    <x v="3"/>
    <n v="11"/>
    <n v="8"/>
    <n v="3"/>
    <n v="10"/>
    <x v="1"/>
    <x v="3"/>
  </r>
  <r>
    <n v="32"/>
    <x v="1"/>
    <x v="1"/>
    <n v="1318"/>
    <x v="0"/>
    <n v="10"/>
    <n v="4"/>
    <s v="Marketing"/>
    <n v="1"/>
    <n v="1853"/>
    <n v="4"/>
    <s v="Male"/>
    <n v="79"/>
    <n v="3"/>
    <n v="2"/>
    <x v="0"/>
    <n v="4"/>
    <x v="0"/>
    <n v="4648"/>
    <n v="26075"/>
    <n v="8"/>
    <s v="Y"/>
    <x v="1"/>
    <n v="13"/>
    <n v="3"/>
    <n v="3"/>
    <n v="80"/>
    <n v="0"/>
    <n v="4"/>
    <n v="2"/>
    <x v="3"/>
    <n v="0"/>
    <n v="0"/>
    <n v="0"/>
    <n v="0"/>
    <x v="0"/>
    <x v="3"/>
  </r>
  <r>
    <n v="42"/>
    <x v="1"/>
    <x v="2"/>
    <n v="355"/>
    <x v="1"/>
    <n v="10"/>
    <n v="4"/>
    <s v="Technical Degree"/>
    <n v="1"/>
    <n v="1854"/>
    <n v="3"/>
    <s v="Male"/>
    <n v="38"/>
    <n v="3"/>
    <n v="1"/>
    <x v="1"/>
    <n v="3"/>
    <x v="1"/>
    <n v="2936"/>
    <n v="6161"/>
    <n v="3"/>
    <s v="Y"/>
    <x v="1"/>
    <n v="22"/>
    <n v="4"/>
    <n v="2"/>
    <n v="80"/>
    <n v="2"/>
    <n v="10"/>
    <n v="1"/>
    <x v="2"/>
    <n v="6"/>
    <n v="3"/>
    <n v="3"/>
    <n v="3"/>
    <x v="0"/>
    <x v="2"/>
  </r>
  <r>
    <n v="47"/>
    <x v="1"/>
    <x v="0"/>
    <n v="207"/>
    <x v="1"/>
    <n v="9"/>
    <n v="4"/>
    <s v="Life Sciences"/>
    <n v="1"/>
    <n v="1856"/>
    <n v="2"/>
    <s v="Female"/>
    <n v="64"/>
    <n v="3"/>
    <n v="1"/>
    <x v="2"/>
    <n v="3"/>
    <x v="0"/>
    <n v="2105"/>
    <n v="5411"/>
    <n v="4"/>
    <s v="Y"/>
    <x v="1"/>
    <n v="12"/>
    <n v="3"/>
    <n v="3"/>
    <n v="80"/>
    <n v="0"/>
    <n v="7"/>
    <n v="2"/>
    <x v="1"/>
    <n v="2"/>
    <n v="2"/>
    <n v="2"/>
    <n v="0"/>
    <x v="0"/>
    <x v="1"/>
  </r>
  <r>
    <n v="46"/>
    <x v="1"/>
    <x v="0"/>
    <n v="706"/>
    <x v="1"/>
    <n v="2"/>
    <n v="2"/>
    <s v="Life Sciences"/>
    <n v="1"/>
    <n v="1857"/>
    <n v="4"/>
    <s v="Male"/>
    <n v="82"/>
    <n v="3"/>
    <n v="3"/>
    <x v="3"/>
    <n v="4"/>
    <x v="2"/>
    <n v="8578"/>
    <n v="19989"/>
    <n v="3"/>
    <s v="Y"/>
    <x v="1"/>
    <n v="14"/>
    <n v="3"/>
    <n v="3"/>
    <n v="80"/>
    <n v="1"/>
    <n v="12"/>
    <n v="4"/>
    <x v="2"/>
    <n v="9"/>
    <n v="8"/>
    <n v="4"/>
    <n v="7"/>
    <x v="0"/>
    <x v="2"/>
  </r>
  <r>
    <n v="28"/>
    <x v="1"/>
    <x v="2"/>
    <n v="280"/>
    <x v="2"/>
    <n v="1"/>
    <n v="2"/>
    <s v="Life Sciences"/>
    <n v="1"/>
    <n v="1858"/>
    <n v="3"/>
    <s v="Male"/>
    <n v="43"/>
    <n v="3"/>
    <n v="1"/>
    <x v="8"/>
    <n v="4"/>
    <x v="2"/>
    <n v="2706"/>
    <n v="10494"/>
    <n v="1"/>
    <s v="Y"/>
    <x v="1"/>
    <n v="15"/>
    <n v="3"/>
    <n v="2"/>
    <n v="80"/>
    <n v="1"/>
    <n v="3"/>
    <n v="2"/>
    <x v="1"/>
    <n v="3"/>
    <n v="2"/>
    <n v="2"/>
    <n v="2"/>
    <x v="1"/>
    <x v="1"/>
  </r>
  <r>
    <n v="29"/>
    <x v="1"/>
    <x v="0"/>
    <n v="726"/>
    <x v="1"/>
    <n v="29"/>
    <n v="1"/>
    <s v="Life Sciences"/>
    <n v="1"/>
    <n v="1859"/>
    <n v="4"/>
    <s v="Male"/>
    <n v="93"/>
    <n v="1"/>
    <n v="2"/>
    <x v="4"/>
    <n v="3"/>
    <x v="2"/>
    <n v="6384"/>
    <n v="21143"/>
    <n v="8"/>
    <s v="Y"/>
    <x v="1"/>
    <n v="17"/>
    <n v="3"/>
    <n v="4"/>
    <n v="80"/>
    <n v="2"/>
    <n v="11"/>
    <n v="3"/>
    <x v="1"/>
    <n v="7"/>
    <n v="0"/>
    <n v="1"/>
    <n v="6"/>
    <x v="1"/>
    <x v="1"/>
  </r>
  <r>
    <n v="42"/>
    <x v="1"/>
    <x v="0"/>
    <n v="1142"/>
    <x v="1"/>
    <n v="8"/>
    <n v="3"/>
    <s v="Life Sciences"/>
    <n v="1"/>
    <n v="1860"/>
    <n v="4"/>
    <s v="Male"/>
    <n v="81"/>
    <n v="3"/>
    <n v="1"/>
    <x v="2"/>
    <n v="3"/>
    <x v="0"/>
    <n v="3968"/>
    <n v="13624"/>
    <n v="4"/>
    <s v="Y"/>
    <x v="1"/>
    <n v="13"/>
    <n v="3"/>
    <n v="4"/>
    <n v="80"/>
    <n v="0"/>
    <n v="8"/>
    <n v="3"/>
    <x v="1"/>
    <n v="0"/>
    <n v="0"/>
    <n v="0"/>
    <n v="0"/>
    <x v="0"/>
    <x v="1"/>
  </r>
  <r>
    <n v="32"/>
    <x v="0"/>
    <x v="0"/>
    <n v="414"/>
    <x v="0"/>
    <n v="2"/>
    <n v="4"/>
    <s v="Marketing"/>
    <n v="1"/>
    <n v="1862"/>
    <n v="3"/>
    <s v="Male"/>
    <n v="82"/>
    <n v="2"/>
    <n v="2"/>
    <x v="0"/>
    <n v="2"/>
    <x v="0"/>
    <n v="9907"/>
    <n v="26186"/>
    <n v="7"/>
    <s v="Y"/>
    <x v="0"/>
    <n v="12"/>
    <n v="3"/>
    <n v="3"/>
    <n v="80"/>
    <n v="0"/>
    <n v="7"/>
    <n v="3"/>
    <x v="2"/>
    <n v="2"/>
    <n v="2"/>
    <n v="2"/>
    <n v="2"/>
    <x v="0"/>
    <x v="2"/>
  </r>
  <r>
    <n v="46"/>
    <x v="1"/>
    <x v="0"/>
    <n v="1319"/>
    <x v="0"/>
    <n v="3"/>
    <n v="3"/>
    <s v="Technical Degree"/>
    <n v="1"/>
    <n v="1863"/>
    <n v="1"/>
    <s v="Female"/>
    <n v="45"/>
    <n v="4"/>
    <n v="4"/>
    <x v="0"/>
    <n v="1"/>
    <x v="2"/>
    <n v="13225"/>
    <n v="7739"/>
    <n v="2"/>
    <s v="Y"/>
    <x v="1"/>
    <n v="12"/>
    <n v="3"/>
    <n v="4"/>
    <n v="80"/>
    <n v="1"/>
    <n v="25"/>
    <n v="5"/>
    <x v="1"/>
    <n v="19"/>
    <n v="17"/>
    <n v="2"/>
    <n v="8"/>
    <x v="0"/>
    <x v="1"/>
  </r>
  <r>
    <n v="27"/>
    <x v="1"/>
    <x v="0"/>
    <n v="728"/>
    <x v="0"/>
    <n v="23"/>
    <n v="1"/>
    <s v="Medical"/>
    <n v="1"/>
    <n v="1864"/>
    <n v="2"/>
    <s v="Female"/>
    <n v="36"/>
    <n v="2"/>
    <n v="2"/>
    <x v="6"/>
    <n v="3"/>
    <x v="1"/>
    <n v="3540"/>
    <n v="7018"/>
    <n v="1"/>
    <s v="Y"/>
    <x v="1"/>
    <n v="21"/>
    <n v="4"/>
    <n v="4"/>
    <n v="80"/>
    <n v="1"/>
    <n v="9"/>
    <n v="5"/>
    <x v="1"/>
    <n v="9"/>
    <n v="8"/>
    <n v="5"/>
    <n v="8"/>
    <x v="1"/>
    <x v="1"/>
  </r>
  <r>
    <n v="29"/>
    <x v="1"/>
    <x v="0"/>
    <n v="352"/>
    <x v="2"/>
    <n v="6"/>
    <n v="1"/>
    <s v="Medical"/>
    <n v="1"/>
    <n v="1865"/>
    <n v="4"/>
    <s v="Male"/>
    <n v="87"/>
    <n v="2"/>
    <n v="1"/>
    <x v="8"/>
    <n v="2"/>
    <x v="1"/>
    <n v="2804"/>
    <n v="15434"/>
    <n v="1"/>
    <s v="Y"/>
    <x v="1"/>
    <n v="11"/>
    <n v="3"/>
    <n v="4"/>
    <n v="80"/>
    <n v="0"/>
    <n v="1"/>
    <n v="3"/>
    <x v="1"/>
    <n v="1"/>
    <n v="0"/>
    <n v="0"/>
    <n v="0"/>
    <x v="1"/>
    <x v="1"/>
  </r>
  <r>
    <n v="43"/>
    <x v="1"/>
    <x v="0"/>
    <n v="823"/>
    <x v="1"/>
    <n v="6"/>
    <n v="3"/>
    <s v="Medical"/>
    <n v="1"/>
    <n v="1866"/>
    <n v="1"/>
    <s v="Female"/>
    <n v="81"/>
    <n v="2"/>
    <n v="5"/>
    <x v="5"/>
    <n v="3"/>
    <x v="1"/>
    <n v="19392"/>
    <n v="22539"/>
    <n v="7"/>
    <s v="Y"/>
    <x v="1"/>
    <n v="13"/>
    <n v="3"/>
    <n v="4"/>
    <n v="80"/>
    <n v="0"/>
    <n v="21"/>
    <n v="2"/>
    <x v="1"/>
    <n v="16"/>
    <n v="12"/>
    <n v="6"/>
    <n v="14"/>
    <x v="0"/>
    <x v="1"/>
  </r>
  <r>
    <n v="48"/>
    <x v="1"/>
    <x v="0"/>
    <n v="1224"/>
    <x v="1"/>
    <n v="10"/>
    <n v="3"/>
    <s v="Life Sciences"/>
    <n v="1"/>
    <n v="1867"/>
    <n v="4"/>
    <s v="Male"/>
    <n v="91"/>
    <n v="2"/>
    <n v="5"/>
    <x v="7"/>
    <n v="2"/>
    <x v="1"/>
    <n v="19665"/>
    <n v="13583"/>
    <n v="4"/>
    <s v="Y"/>
    <x v="1"/>
    <n v="12"/>
    <n v="3"/>
    <n v="4"/>
    <n v="80"/>
    <n v="0"/>
    <n v="29"/>
    <n v="3"/>
    <x v="1"/>
    <n v="22"/>
    <n v="10"/>
    <n v="12"/>
    <n v="9"/>
    <x v="0"/>
    <x v="1"/>
  </r>
  <r>
    <n v="29"/>
    <x v="0"/>
    <x v="1"/>
    <n v="459"/>
    <x v="1"/>
    <n v="24"/>
    <n v="2"/>
    <s v="Life Sciences"/>
    <n v="1"/>
    <n v="1868"/>
    <n v="4"/>
    <s v="Male"/>
    <n v="73"/>
    <n v="2"/>
    <n v="1"/>
    <x v="1"/>
    <n v="4"/>
    <x v="0"/>
    <n v="2439"/>
    <n v="14753"/>
    <n v="1"/>
    <s v="Y"/>
    <x v="0"/>
    <n v="24"/>
    <n v="4"/>
    <n v="2"/>
    <n v="80"/>
    <n v="0"/>
    <n v="1"/>
    <n v="3"/>
    <x v="2"/>
    <n v="1"/>
    <n v="0"/>
    <n v="1"/>
    <n v="0"/>
    <x v="1"/>
    <x v="2"/>
  </r>
  <r>
    <n v="46"/>
    <x v="0"/>
    <x v="0"/>
    <n v="1254"/>
    <x v="0"/>
    <n v="10"/>
    <n v="3"/>
    <s v="Life Sciences"/>
    <n v="1"/>
    <n v="1869"/>
    <n v="3"/>
    <s v="Female"/>
    <n v="64"/>
    <n v="3"/>
    <n v="3"/>
    <x v="0"/>
    <n v="2"/>
    <x v="1"/>
    <n v="7314"/>
    <n v="14011"/>
    <n v="5"/>
    <s v="Y"/>
    <x v="1"/>
    <n v="21"/>
    <n v="4"/>
    <n v="3"/>
    <n v="80"/>
    <n v="3"/>
    <n v="14"/>
    <n v="2"/>
    <x v="1"/>
    <n v="8"/>
    <n v="7"/>
    <n v="0"/>
    <n v="7"/>
    <x v="0"/>
    <x v="1"/>
  </r>
  <r>
    <n v="27"/>
    <x v="1"/>
    <x v="1"/>
    <n v="1131"/>
    <x v="1"/>
    <n v="15"/>
    <n v="3"/>
    <s v="Life Sciences"/>
    <n v="1"/>
    <n v="1870"/>
    <n v="4"/>
    <s v="Female"/>
    <n v="77"/>
    <n v="2"/>
    <n v="1"/>
    <x v="1"/>
    <n v="1"/>
    <x v="1"/>
    <n v="4774"/>
    <n v="23844"/>
    <n v="0"/>
    <s v="Y"/>
    <x v="1"/>
    <n v="19"/>
    <n v="3"/>
    <n v="4"/>
    <n v="80"/>
    <n v="1"/>
    <n v="8"/>
    <n v="2"/>
    <x v="2"/>
    <n v="7"/>
    <n v="6"/>
    <n v="7"/>
    <n v="3"/>
    <x v="1"/>
    <x v="2"/>
  </r>
  <r>
    <n v="39"/>
    <x v="1"/>
    <x v="0"/>
    <n v="835"/>
    <x v="1"/>
    <n v="19"/>
    <n v="4"/>
    <s v="Other"/>
    <n v="1"/>
    <n v="1871"/>
    <n v="4"/>
    <s v="Male"/>
    <n v="41"/>
    <n v="3"/>
    <n v="2"/>
    <x v="1"/>
    <n v="4"/>
    <x v="2"/>
    <n v="3902"/>
    <n v="5141"/>
    <n v="8"/>
    <s v="Y"/>
    <x v="1"/>
    <n v="14"/>
    <n v="3"/>
    <n v="2"/>
    <n v="80"/>
    <n v="3"/>
    <n v="7"/>
    <n v="2"/>
    <x v="1"/>
    <n v="2"/>
    <n v="2"/>
    <n v="2"/>
    <n v="2"/>
    <x v="0"/>
    <x v="1"/>
  </r>
  <r>
    <n v="55"/>
    <x v="1"/>
    <x v="0"/>
    <n v="836"/>
    <x v="1"/>
    <n v="2"/>
    <n v="4"/>
    <s v="Technical Degree"/>
    <n v="1"/>
    <n v="1873"/>
    <n v="2"/>
    <s v="Male"/>
    <n v="98"/>
    <n v="2"/>
    <n v="1"/>
    <x v="1"/>
    <n v="4"/>
    <x v="1"/>
    <n v="2662"/>
    <n v="7975"/>
    <n v="8"/>
    <s v="Y"/>
    <x v="1"/>
    <n v="20"/>
    <n v="4"/>
    <n v="2"/>
    <n v="80"/>
    <n v="1"/>
    <n v="19"/>
    <n v="2"/>
    <x v="3"/>
    <n v="5"/>
    <n v="2"/>
    <n v="0"/>
    <n v="4"/>
    <x v="2"/>
    <x v="3"/>
  </r>
  <r>
    <n v="28"/>
    <x v="1"/>
    <x v="0"/>
    <n v="1172"/>
    <x v="0"/>
    <n v="3"/>
    <n v="3"/>
    <s v="Medical"/>
    <n v="1"/>
    <n v="1875"/>
    <n v="2"/>
    <s v="Female"/>
    <n v="78"/>
    <n v="3"/>
    <n v="1"/>
    <x v="6"/>
    <n v="2"/>
    <x v="1"/>
    <n v="2856"/>
    <n v="3692"/>
    <n v="1"/>
    <s v="Y"/>
    <x v="1"/>
    <n v="19"/>
    <n v="3"/>
    <n v="4"/>
    <n v="80"/>
    <n v="1"/>
    <n v="1"/>
    <n v="3"/>
    <x v="1"/>
    <n v="1"/>
    <n v="0"/>
    <n v="0"/>
    <n v="0"/>
    <x v="1"/>
    <x v="1"/>
  </r>
  <r>
    <n v="30"/>
    <x v="0"/>
    <x v="0"/>
    <n v="945"/>
    <x v="0"/>
    <n v="9"/>
    <n v="3"/>
    <s v="Medical"/>
    <n v="1"/>
    <n v="1876"/>
    <n v="2"/>
    <s v="Male"/>
    <n v="89"/>
    <n v="3"/>
    <n v="1"/>
    <x v="6"/>
    <n v="4"/>
    <x v="0"/>
    <n v="1081"/>
    <n v="16019"/>
    <n v="1"/>
    <s v="Y"/>
    <x v="1"/>
    <n v="13"/>
    <n v="3"/>
    <n v="3"/>
    <n v="80"/>
    <n v="0"/>
    <n v="1"/>
    <n v="3"/>
    <x v="2"/>
    <n v="1"/>
    <n v="0"/>
    <n v="0"/>
    <n v="0"/>
    <x v="1"/>
    <x v="2"/>
  </r>
  <r>
    <n v="22"/>
    <x v="0"/>
    <x v="0"/>
    <n v="391"/>
    <x v="1"/>
    <n v="7"/>
    <n v="1"/>
    <s v="Life Sciences"/>
    <n v="1"/>
    <n v="1878"/>
    <n v="4"/>
    <s v="Male"/>
    <n v="75"/>
    <n v="3"/>
    <n v="1"/>
    <x v="1"/>
    <n v="2"/>
    <x v="0"/>
    <n v="2472"/>
    <n v="26092"/>
    <n v="1"/>
    <s v="Y"/>
    <x v="0"/>
    <n v="23"/>
    <n v="4"/>
    <n v="1"/>
    <n v="80"/>
    <n v="0"/>
    <n v="1"/>
    <n v="2"/>
    <x v="1"/>
    <n v="1"/>
    <n v="0"/>
    <n v="0"/>
    <n v="0"/>
    <x v="1"/>
    <x v="1"/>
  </r>
  <r>
    <n v="36"/>
    <x v="1"/>
    <x v="0"/>
    <n v="1266"/>
    <x v="0"/>
    <n v="10"/>
    <n v="4"/>
    <s v="Technical Degree"/>
    <n v="1"/>
    <n v="1880"/>
    <n v="2"/>
    <s v="Female"/>
    <n v="63"/>
    <n v="2"/>
    <n v="2"/>
    <x v="0"/>
    <n v="3"/>
    <x v="1"/>
    <n v="5673"/>
    <n v="6060"/>
    <n v="1"/>
    <s v="Y"/>
    <x v="0"/>
    <n v="13"/>
    <n v="3"/>
    <n v="1"/>
    <n v="80"/>
    <n v="1"/>
    <n v="10"/>
    <n v="4"/>
    <x v="1"/>
    <n v="10"/>
    <n v="9"/>
    <n v="1"/>
    <n v="7"/>
    <x v="0"/>
    <x v="1"/>
  </r>
  <r>
    <n v="31"/>
    <x v="1"/>
    <x v="0"/>
    <n v="311"/>
    <x v="1"/>
    <n v="20"/>
    <n v="3"/>
    <s v="Life Sciences"/>
    <n v="1"/>
    <n v="1881"/>
    <n v="2"/>
    <s v="Male"/>
    <n v="89"/>
    <n v="3"/>
    <n v="2"/>
    <x v="2"/>
    <n v="3"/>
    <x v="2"/>
    <n v="4197"/>
    <n v="18624"/>
    <n v="1"/>
    <s v="Y"/>
    <x v="1"/>
    <n v="11"/>
    <n v="3"/>
    <n v="1"/>
    <n v="80"/>
    <n v="1"/>
    <n v="10"/>
    <n v="2"/>
    <x v="1"/>
    <n v="10"/>
    <n v="8"/>
    <n v="0"/>
    <n v="2"/>
    <x v="0"/>
    <x v="1"/>
  </r>
  <r>
    <n v="34"/>
    <x v="1"/>
    <x v="0"/>
    <n v="1480"/>
    <x v="0"/>
    <n v="4"/>
    <n v="3"/>
    <s v="Life Sciences"/>
    <n v="1"/>
    <n v="1882"/>
    <n v="3"/>
    <s v="Male"/>
    <n v="64"/>
    <n v="3"/>
    <n v="3"/>
    <x v="0"/>
    <n v="4"/>
    <x v="1"/>
    <n v="9713"/>
    <n v="24444"/>
    <n v="2"/>
    <s v="Y"/>
    <x v="0"/>
    <n v="13"/>
    <n v="3"/>
    <n v="4"/>
    <n v="80"/>
    <n v="3"/>
    <n v="9"/>
    <n v="3"/>
    <x v="1"/>
    <n v="5"/>
    <n v="3"/>
    <n v="1"/>
    <n v="0"/>
    <x v="0"/>
    <x v="1"/>
  </r>
  <r>
    <n v="29"/>
    <x v="1"/>
    <x v="0"/>
    <n v="592"/>
    <x v="1"/>
    <n v="7"/>
    <n v="3"/>
    <s v="Life Sciences"/>
    <n v="1"/>
    <n v="1883"/>
    <n v="4"/>
    <s v="Male"/>
    <n v="59"/>
    <n v="3"/>
    <n v="1"/>
    <x v="2"/>
    <n v="1"/>
    <x v="0"/>
    <n v="2062"/>
    <n v="19384"/>
    <n v="3"/>
    <s v="Y"/>
    <x v="1"/>
    <n v="14"/>
    <n v="3"/>
    <n v="2"/>
    <n v="80"/>
    <n v="0"/>
    <n v="11"/>
    <n v="2"/>
    <x v="1"/>
    <n v="3"/>
    <n v="2"/>
    <n v="1"/>
    <n v="2"/>
    <x v="1"/>
    <x v="1"/>
  </r>
  <r>
    <n v="37"/>
    <x v="1"/>
    <x v="0"/>
    <n v="783"/>
    <x v="1"/>
    <n v="7"/>
    <n v="4"/>
    <s v="Medical"/>
    <n v="1"/>
    <n v="1885"/>
    <n v="4"/>
    <s v="Male"/>
    <n v="78"/>
    <n v="3"/>
    <n v="2"/>
    <x v="1"/>
    <n v="1"/>
    <x v="1"/>
    <n v="4284"/>
    <n v="13588"/>
    <n v="5"/>
    <s v="Y"/>
    <x v="0"/>
    <n v="22"/>
    <n v="4"/>
    <n v="3"/>
    <n v="80"/>
    <n v="1"/>
    <n v="16"/>
    <n v="2"/>
    <x v="1"/>
    <n v="5"/>
    <n v="3"/>
    <n v="0"/>
    <n v="4"/>
    <x v="0"/>
    <x v="1"/>
  </r>
  <r>
    <n v="35"/>
    <x v="1"/>
    <x v="0"/>
    <n v="219"/>
    <x v="1"/>
    <n v="16"/>
    <n v="2"/>
    <s v="Other"/>
    <n v="1"/>
    <n v="1886"/>
    <n v="4"/>
    <s v="Female"/>
    <n v="44"/>
    <n v="2"/>
    <n v="2"/>
    <x v="3"/>
    <n v="2"/>
    <x v="1"/>
    <n v="4788"/>
    <n v="25388"/>
    <n v="0"/>
    <s v="Y"/>
    <x v="0"/>
    <n v="11"/>
    <n v="3"/>
    <n v="4"/>
    <n v="80"/>
    <n v="0"/>
    <n v="4"/>
    <n v="2"/>
    <x v="1"/>
    <n v="3"/>
    <n v="2"/>
    <n v="0"/>
    <n v="2"/>
    <x v="0"/>
    <x v="1"/>
  </r>
  <r>
    <n v="45"/>
    <x v="1"/>
    <x v="0"/>
    <n v="556"/>
    <x v="1"/>
    <n v="25"/>
    <n v="2"/>
    <s v="Life Sciences"/>
    <n v="1"/>
    <n v="1888"/>
    <n v="2"/>
    <s v="Female"/>
    <n v="93"/>
    <n v="2"/>
    <n v="2"/>
    <x v="3"/>
    <n v="4"/>
    <x v="1"/>
    <n v="5906"/>
    <n v="23888"/>
    <n v="0"/>
    <s v="Y"/>
    <x v="1"/>
    <n v="13"/>
    <n v="3"/>
    <n v="4"/>
    <n v="80"/>
    <n v="2"/>
    <n v="10"/>
    <n v="2"/>
    <x v="2"/>
    <n v="9"/>
    <n v="8"/>
    <n v="3"/>
    <n v="8"/>
    <x v="0"/>
    <x v="2"/>
  </r>
  <r>
    <n v="36"/>
    <x v="1"/>
    <x v="1"/>
    <n v="1213"/>
    <x v="2"/>
    <n v="2"/>
    <n v="1"/>
    <s v="Human Resources"/>
    <n v="1"/>
    <n v="1890"/>
    <n v="2"/>
    <s v="Male"/>
    <n v="94"/>
    <n v="2"/>
    <n v="2"/>
    <x v="8"/>
    <n v="4"/>
    <x v="0"/>
    <n v="3886"/>
    <n v="4223"/>
    <n v="1"/>
    <s v="Y"/>
    <x v="1"/>
    <n v="21"/>
    <n v="4"/>
    <n v="4"/>
    <n v="80"/>
    <n v="0"/>
    <n v="10"/>
    <n v="2"/>
    <x v="2"/>
    <n v="10"/>
    <n v="1"/>
    <n v="0"/>
    <n v="8"/>
    <x v="0"/>
    <x v="2"/>
  </r>
  <r>
    <n v="40"/>
    <x v="1"/>
    <x v="0"/>
    <n v="1137"/>
    <x v="1"/>
    <n v="1"/>
    <n v="4"/>
    <s v="Life Sciences"/>
    <n v="1"/>
    <n v="1892"/>
    <n v="1"/>
    <s v="Male"/>
    <n v="98"/>
    <n v="3"/>
    <n v="4"/>
    <x v="5"/>
    <n v="1"/>
    <x v="2"/>
    <n v="16823"/>
    <n v="18991"/>
    <n v="2"/>
    <s v="Y"/>
    <x v="1"/>
    <n v="11"/>
    <n v="3"/>
    <n v="1"/>
    <n v="80"/>
    <n v="1"/>
    <n v="22"/>
    <n v="3"/>
    <x v="1"/>
    <n v="19"/>
    <n v="7"/>
    <n v="11"/>
    <n v="16"/>
    <x v="0"/>
    <x v="1"/>
  </r>
  <r>
    <n v="26"/>
    <x v="1"/>
    <x v="0"/>
    <n v="482"/>
    <x v="1"/>
    <n v="1"/>
    <n v="2"/>
    <s v="Life Sciences"/>
    <n v="1"/>
    <n v="1893"/>
    <n v="2"/>
    <s v="Female"/>
    <n v="90"/>
    <n v="2"/>
    <n v="1"/>
    <x v="1"/>
    <n v="3"/>
    <x v="1"/>
    <n v="2933"/>
    <n v="14908"/>
    <n v="1"/>
    <s v="Y"/>
    <x v="0"/>
    <n v="13"/>
    <n v="3"/>
    <n v="3"/>
    <n v="80"/>
    <n v="1"/>
    <n v="1"/>
    <n v="3"/>
    <x v="2"/>
    <n v="1"/>
    <n v="0"/>
    <n v="1"/>
    <n v="0"/>
    <x v="1"/>
    <x v="2"/>
  </r>
  <r>
    <n v="27"/>
    <x v="1"/>
    <x v="0"/>
    <n v="511"/>
    <x v="0"/>
    <n v="2"/>
    <n v="2"/>
    <s v="Medical"/>
    <n v="1"/>
    <n v="1898"/>
    <n v="1"/>
    <s v="Female"/>
    <n v="89"/>
    <n v="4"/>
    <n v="2"/>
    <x v="0"/>
    <n v="3"/>
    <x v="0"/>
    <n v="6500"/>
    <n v="26997"/>
    <n v="0"/>
    <s v="Y"/>
    <x v="1"/>
    <n v="14"/>
    <n v="3"/>
    <n v="2"/>
    <n v="80"/>
    <n v="0"/>
    <n v="9"/>
    <n v="5"/>
    <x v="2"/>
    <n v="8"/>
    <n v="7"/>
    <n v="0"/>
    <n v="7"/>
    <x v="1"/>
    <x v="2"/>
  </r>
  <r>
    <n v="48"/>
    <x v="1"/>
    <x v="1"/>
    <n v="117"/>
    <x v="1"/>
    <n v="22"/>
    <n v="3"/>
    <s v="Medical"/>
    <n v="1"/>
    <n v="1900"/>
    <n v="4"/>
    <s v="Female"/>
    <n v="58"/>
    <n v="3"/>
    <n v="4"/>
    <x v="5"/>
    <n v="4"/>
    <x v="2"/>
    <n v="17174"/>
    <n v="2437"/>
    <n v="3"/>
    <s v="Y"/>
    <x v="1"/>
    <n v="11"/>
    <n v="3"/>
    <n v="2"/>
    <n v="80"/>
    <n v="1"/>
    <n v="24"/>
    <n v="3"/>
    <x v="1"/>
    <n v="22"/>
    <n v="17"/>
    <n v="4"/>
    <n v="7"/>
    <x v="0"/>
    <x v="1"/>
  </r>
  <r>
    <n v="44"/>
    <x v="1"/>
    <x v="0"/>
    <n v="170"/>
    <x v="1"/>
    <n v="1"/>
    <n v="4"/>
    <s v="Life Sciences"/>
    <n v="1"/>
    <n v="1903"/>
    <n v="2"/>
    <s v="Male"/>
    <n v="78"/>
    <n v="4"/>
    <n v="2"/>
    <x v="4"/>
    <n v="1"/>
    <x v="1"/>
    <n v="5033"/>
    <n v="9364"/>
    <n v="2"/>
    <s v="Y"/>
    <x v="1"/>
    <n v="15"/>
    <n v="3"/>
    <n v="4"/>
    <n v="80"/>
    <n v="1"/>
    <n v="10"/>
    <n v="5"/>
    <x v="1"/>
    <n v="2"/>
    <n v="0"/>
    <n v="2"/>
    <n v="2"/>
    <x v="0"/>
    <x v="1"/>
  </r>
  <r>
    <n v="34"/>
    <x v="0"/>
    <x v="2"/>
    <n v="967"/>
    <x v="1"/>
    <n v="16"/>
    <n v="4"/>
    <s v="Technical Degree"/>
    <n v="1"/>
    <n v="1905"/>
    <n v="4"/>
    <s v="Male"/>
    <n v="85"/>
    <n v="1"/>
    <n v="1"/>
    <x v="1"/>
    <n v="1"/>
    <x v="1"/>
    <n v="2307"/>
    <n v="14460"/>
    <n v="1"/>
    <s v="Y"/>
    <x v="0"/>
    <n v="23"/>
    <n v="4"/>
    <n v="2"/>
    <n v="80"/>
    <n v="1"/>
    <n v="5"/>
    <n v="2"/>
    <x v="1"/>
    <n v="5"/>
    <n v="2"/>
    <n v="3"/>
    <n v="0"/>
    <x v="0"/>
    <x v="1"/>
  </r>
  <r>
    <n v="56"/>
    <x v="0"/>
    <x v="0"/>
    <n v="1162"/>
    <x v="1"/>
    <n v="24"/>
    <n v="2"/>
    <s v="Life Sciences"/>
    <n v="1"/>
    <n v="1907"/>
    <n v="1"/>
    <s v="Male"/>
    <n v="97"/>
    <n v="3"/>
    <n v="1"/>
    <x v="2"/>
    <n v="4"/>
    <x v="0"/>
    <n v="2587"/>
    <n v="10261"/>
    <n v="1"/>
    <s v="Y"/>
    <x v="1"/>
    <n v="16"/>
    <n v="3"/>
    <n v="4"/>
    <n v="80"/>
    <n v="0"/>
    <n v="5"/>
    <n v="3"/>
    <x v="1"/>
    <n v="4"/>
    <n v="2"/>
    <n v="1"/>
    <n v="0"/>
    <x v="2"/>
    <x v="1"/>
  </r>
  <r>
    <n v="36"/>
    <x v="1"/>
    <x v="0"/>
    <n v="335"/>
    <x v="0"/>
    <n v="17"/>
    <n v="2"/>
    <s v="Marketing"/>
    <n v="1"/>
    <n v="1908"/>
    <n v="3"/>
    <s v="Male"/>
    <n v="33"/>
    <n v="2"/>
    <n v="2"/>
    <x v="0"/>
    <n v="2"/>
    <x v="1"/>
    <n v="5507"/>
    <n v="16822"/>
    <n v="2"/>
    <s v="Y"/>
    <x v="1"/>
    <n v="16"/>
    <n v="3"/>
    <n v="3"/>
    <n v="80"/>
    <n v="2"/>
    <n v="12"/>
    <n v="1"/>
    <x v="0"/>
    <n v="4"/>
    <n v="2"/>
    <n v="1"/>
    <n v="3"/>
    <x v="0"/>
    <x v="0"/>
  </r>
  <r>
    <n v="41"/>
    <x v="1"/>
    <x v="0"/>
    <n v="337"/>
    <x v="0"/>
    <n v="8"/>
    <n v="3"/>
    <s v="Marketing"/>
    <n v="1"/>
    <n v="1909"/>
    <n v="3"/>
    <s v="Female"/>
    <n v="54"/>
    <n v="3"/>
    <n v="2"/>
    <x v="0"/>
    <n v="2"/>
    <x v="1"/>
    <n v="4393"/>
    <n v="26841"/>
    <n v="5"/>
    <s v="Y"/>
    <x v="1"/>
    <n v="21"/>
    <n v="4"/>
    <n v="3"/>
    <n v="80"/>
    <n v="1"/>
    <n v="14"/>
    <n v="3"/>
    <x v="1"/>
    <n v="5"/>
    <n v="4"/>
    <n v="1"/>
    <n v="4"/>
    <x v="0"/>
    <x v="1"/>
  </r>
  <r>
    <n v="42"/>
    <x v="1"/>
    <x v="0"/>
    <n v="1396"/>
    <x v="1"/>
    <n v="6"/>
    <n v="3"/>
    <s v="Medical"/>
    <n v="1"/>
    <n v="1911"/>
    <n v="3"/>
    <s v="Male"/>
    <n v="83"/>
    <n v="3"/>
    <n v="3"/>
    <x v="7"/>
    <n v="1"/>
    <x v="1"/>
    <n v="13348"/>
    <n v="14842"/>
    <n v="9"/>
    <s v="Y"/>
    <x v="1"/>
    <n v="13"/>
    <n v="3"/>
    <n v="2"/>
    <n v="80"/>
    <n v="1"/>
    <n v="18"/>
    <n v="3"/>
    <x v="3"/>
    <n v="13"/>
    <n v="7"/>
    <n v="5"/>
    <n v="7"/>
    <x v="0"/>
    <x v="3"/>
  </r>
  <r>
    <n v="31"/>
    <x v="1"/>
    <x v="0"/>
    <n v="1079"/>
    <x v="0"/>
    <n v="10"/>
    <n v="2"/>
    <s v="Medical"/>
    <n v="1"/>
    <n v="1912"/>
    <n v="3"/>
    <s v="Female"/>
    <n v="86"/>
    <n v="3"/>
    <n v="2"/>
    <x v="0"/>
    <n v="4"/>
    <x v="2"/>
    <n v="6583"/>
    <n v="20115"/>
    <n v="2"/>
    <s v="Y"/>
    <x v="0"/>
    <n v="11"/>
    <n v="3"/>
    <n v="4"/>
    <n v="80"/>
    <n v="1"/>
    <n v="8"/>
    <n v="2"/>
    <x v="1"/>
    <n v="5"/>
    <n v="2"/>
    <n v="1"/>
    <n v="4"/>
    <x v="0"/>
    <x v="1"/>
  </r>
  <r>
    <n v="34"/>
    <x v="1"/>
    <x v="0"/>
    <n v="735"/>
    <x v="0"/>
    <n v="3"/>
    <n v="1"/>
    <s v="Medical"/>
    <n v="1"/>
    <n v="1915"/>
    <n v="4"/>
    <s v="Female"/>
    <n v="75"/>
    <n v="2"/>
    <n v="2"/>
    <x v="0"/>
    <n v="4"/>
    <x v="1"/>
    <n v="8103"/>
    <n v="16495"/>
    <n v="3"/>
    <s v="Y"/>
    <x v="0"/>
    <n v="12"/>
    <n v="3"/>
    <n v="3"/>
    <n v="80"/>
    <n v="0"/>
    <n v="9"/>
    <n v="3"/>
    <x v="2"/>
    <n v="4"/>
    <n v="2"/>
    <n v="0"/>
    <n v="1"/>
    <x v="0"/>
    <x v="2"/>
  </r>
  <r>
    <n v="31"/>
    <x v="1"/>
    <x v="0"/>
    <n v="471"/>
    <x v="1"/>
    <n v="4"/>
    <n v="3"/>
    <s v="Medical"/>
    <n v="1"/>
    <n v="1916"/>
    <n v="1"/>
    <s v="Female"/>
    <n v="62"/>
    <n v="4"/>
    <n v="1"/>
    <x v="2"/>
    <n v="3"/>
    <x v="2"/>
    <n v="3978"/>
    <n v="16031"/>
    <n v="8"/>
    <s v="Y"/>
    <x v="1"/>
    <n v="12"/>
    <n v="3"/>
    <n v="2"/>
    <n v="80"/>
    <n v="1"/>
    <n v="4"/>
    <n v="0"/>
    <x v="2"/>
    <n v="2"/>
    <n v="2"/>
    <n v="2"/>
    <n v="2"/>
    <x v="0"/>
    <x v="2"/>
  </r>
  <r>
    <n v="26"/>
    <x v="1"/>
    <x v="1"/>
    <n v="1096"/>
    <x v="1"/>
    <n v="6"/>
    <n v="3"/>
    <s v="Other"/>
    <n v="1"/>
    <n v="1918"/>
    <n v="3"/>
    <s v="Male"/>
    <n v="61"/>
    <n v="4"/>
    <n v="1"/>
    <x v="2"/>
    <n v="4"/>
    <x v="1"/>
    <n v="2544"/>
    <n v="7102"/>
    <n v="0"/>
    <s v="Y"/>
    <x v="1"/>
    <n v="18"/>
    <n v="3"/>
    <n v="1"/>
    <n v="80"/>
    <n v="1"/>
    <n v="8"/>
    <n v="3"/>
    <x v="1"/>
    <n v="7"/>
    <n v="7"/>
    <n v="7"/>
    <n v="7"/>
    <x v="1"/>
    <x v="1"/>
  </r>
  <r>
    <n v="45"/>
    <x v="1"/>
    <x v="1"/>
    <n v="1297"/>
    <x v="1"/>
    <n v="1"/>
    <n v="4"/>
    <s v="Medical"/>
    <n v="1"/>
    <n v="1922"/>
    <n v="2"/>
    <s v="Male"/>
    <n v="44"/>
    <n v="3"/>
    <n v="2"/>
    <x v="4"/>
    <n v="3"/>
    <x v="0"/>
    <n v="5399"/>
    <n v="14511"/>
    <n v="4"/>
    <s v="Y"/>
    <x v="1"/>
    <n v="12"/>
    <n v="3"/>
    <n v="3"/>
    <n v="80"/>
    <n v="0"/>
    <n v="12"/>
    <n v="3"/>
    <x v="1"/>
    <n v="4"/>
    <n v="2"/>
    <n v="0"/>
    <n v="3"/>
    <x v="0"/>
    <x v="1"/>
  </r>
  <r>
    <n v="33"/>
    <x v="1"/>
    <x v="0"/>
    <n v="217"/>
    <x v="0"/>
    <n v="10"/>
    <n v="4"/>
    <s v="Marketing"/>
    <n v="1"/>
    <n v="1924"/>
    <n v="2"/>
    <s v="Male"/>
    <n v="43"/>
    <n v="3"/>
    <n v="2"/>
    <x v="0"/>
    <n v="3"/>
    <x v="0"/>
    <n v="5487"/>
    <n v="10410"/>
    <n v="1"/>
    <s v="Y"/>
    <x v="1"/>
    <n v="14"/>
    <n v="3"/>
    <n v="2"/>
    <n v="80"/>
    <n v="0"/>
    <n v="10"/>
    <n v="2"/>
    <x v="2"/>
    <n v="10"/>
    <n v="4"/>
    <n v="0"/>
    <n v="9"/>
    <x v="0"/>
    <x v="2"/>
  </r>
  <r>
    <n v="28"/>
    <x v="1"/>
    <x v="1"/>
    <n v="783"/>
    <x v="0"/>
    <n v="1"/>
    <n v="2"/>
    <s v="Life Sciences"/>
    <n v="1"/>
    <n v="1927"/>
    <n v="3"/>
    <s v="Male"/>
    <n v="42"/>
    <n v="2"/>
    <n v="2"/>
    <x v="0"/>
    <n v="4"/>
    <x v="1"/>
    <n v="6834"/>
    <n v="19255"/>
    <n v="1"/>
    <s v="Y"/>
    <x v="0"/>
    <n v="12"/>
    <n v="3"/>
    <n v="3"/>
    <n v="80"/>
    <n v="1"/>
    <n v="7"/>
    <n v="2"/>
    <x v="1"/>
    <n v="7"/>
    <n v="7"/>
    <n v="0"/>
    <n v="7"/>
    <x v="1"/>
    <x v="1"/>
  </r>
  <r>
    <n v="29"/>
    <x v="0"/>
    <x v="1"/>
    <n v="746"/>
    <x v="0"/>
    <n v="24"/>
    <n v="3"/>
    <s v="Technical Degree"/>
    <n v="1"/>
    <n v="1928"/>
    <n v="3"/>
    <s v="Male"/>
    <n v="45"/>
    <n v="4"/>
    <n v="1"/>
    <x v="6"/>
    <n v="1"/>
    <x v="0"/>
    <n v="1091"/>
    <n v="10642"/>
    <n v="1"/>
    <s v="Y"/>
    <x v="1"/>
    <n v="17"/>
    <n v="3"/>
    <n v="4"/>
    <n v="80"/>
    <n v="0"/>
    <n v="1"/>
    <n v="3"/>
    <x v="1"/>
    <n v="1"/>
    <n v="0"/>
    <n v="0"/>
    <n v="0"/>
    <x v="1"/>
    <x v="1"/>
  </r>
  <r>
    <n v="39"/>
    <x v="1"/>
    <x v="2"/>
    <n v="1251"/>
    <x v="0"/>
    <n v="21"/>
    <n v="4"/>
    <s v="Life Sciences"/>
    <n v="1"/>
    <n v="1929"/>
    <n v="1"/>
    <s v="Female"/>
    <n v="32"/>
    <n v="1"/>
    <n v="2"/>
    <x v="0"/>
    <n v="3"/>
    <x v="1"/>
    <n v="5736"/>
    <n v="3987"/>
    <n v="6"/>
    <s v="Y"/>
    <x v="1"/>
    <n v="19"/>
    <n v="3"/>
    <n v="3"/>
    <n v="80"/>
    <n v="1"/>
    <n v="10"/>
    <n v="1"/>
    <x v="1"/>
    <n v="3"/>
    <n v="2"/>
    <n v="1"/>
    <n v="2"/>
    <x v="0"/>
    <x v="1"/>
  </r>
  <r>
    <n v="27"/>
    <x v="1"/>
    <x v="0"/>
    <n v="1354"/>
    <x v="1"/>
    <n v="2"/>
    <n v="4"/>
    <s v="Technical Degree"/>
    <n v="1"/>
    <n v="1931"/>
    <n v="2"/>
    <s v="Male"/>
    <n v="41"/>
    <n v="3"/>
    <n v="1"/>
    <x v="1"/>
    <n v="2"/>
    <x v="1"/>
    <n v="2226"/>
    <n v="6073"/>
    <n v="1"/>
    <s v="Y"/>
    <x v="1"/>
    <n v="11"/>
    <n v="3"/>
    <n v="3"/>
    <n v="80"/>
    <n v="1"/>
    <n v="6"/>
    <n v="3"/>
    <x v="2"/>
    <n v="5"/>
    <n v="3"/>
    <n v="1"/>
    <n v="2"/>
    <x v="1"/>
    <x v="2"/>
  </r>
  <r>
    <n v="34"/>
    <x v="1"/>
    <x v="1"/>
    <n v="735"/>
    <x v="1"/>
    <n v="22"/>
    <n v="4"/>
    <s v="Other"/>
    <n v="1"/>
    <n v="1932"/>
    <n v="3"/>
    <s v="Male"/>
    <n v="86"/>
    <n v="2"/>
    <n v="2"/>
    <x v="1"/>
    <n v="4"/>
    <x v="1"/>
    <n v="5747"/>
    <n v="26496"/>
    <n v="1"/>
    <s v="Y"/>
    <x v="0"/>
    <n v="15"/>
    <n v="3"/>
    <n v="2"/>
    <n v="80"/>
    <n v="0"/>
    <n v="16"/>
    <n v="3"/>
    <x v="1"/>
    <n v="15"/>
    <n v="10"/>
    <n v="6"/>
    <n v="11"/>
    <x v="0"/>
    <x v="1"/>
  </r>
  <r>
    <n v="28"/>
    <x v="0"/>
    <x v="0"/>
    <n v="1475"/>
    <x v="0"/>
    <n v="13"/>
    <n v="2"/>
    <s v="Marketing"/>
    <n v="1"/>
    <n v="1933"/>
    <n v="4"/>
    <s v="Female"/>
    <n v="84"/>
    <n v="3"/>
    <n v="2"/>
    <x v="0"/>
    <n v="3"/>
    <x v="0"/>
    <n v="9854"/>
    <n v="23352"/>
    <n v="3"/>
    <s v="Y"/>
    <x v="0"/>
    <n v="11"/>
    <n v="3"/>
    <n v="4"/>
    <n v="80"/>
    <n v="0"/>
    <n v="6"/>
    <n v="0"/>
    <x v="1"/>
    <n v="2"/>
    <n v="0"/>
    <n v="2"/>
    <n v="2"/>
    <x v="1"/>
    <x v="1"/>
  </r>
  <r>
    <n v="47"/>
    <x v="1"/>
    <x v="2"/>
    <n v="1169"/>
    <x v="1"/>
    <n v="14"/>
    <n v="4"/>
    <s v="Technical Degree"/>
    <n v="1"/>
    <n v="1934"/>
    <n v="3"/>
    <s v="Male"/>
    <n v="64"/>
    <n v="3"/>
    <n v="2"/>
    <x v="1"/>
    <n v="2"/>
    <x v="1"/>
    <n v="5467"/>
    <n v="2125"/>
    <n v="8"/>
    <s v="Y"/>
    <x v="1"/>
    <n v="18"/>
    <n v="3"/>
    <n v="3"/>
    <n v="80"/>
    <n v="1"/>
    <n v="16"/>
    <n v="4"/>
    <x v="3"/>
    <n v="8"/>
    <n v="7"/>
    <n v="1"/>
    <n v="7"/>
    <x v="0"/>
    <x v="3"/>
  </r>
  <r>
    <n v="56"/>
    <x v="1"/>
    <x v="0"/>
    <n v="1443"/>
    <x v="0"/>
    <n v="11"/>
    <n v="5"/>
    <s v="Marketing"/>
    <n v="1"/>
    <n v="1935"/>
    <n v="4"/>
    <s v="Female"/>
    <n v="89"/>
    <n v="2"/>
    <n v="2"/>
    <x v="0"/>
    <n v="1"/>
    <x v="1"/>
    <n v="5380"/>
    <n v="20328"/>
    <n v="4"/>
    <s v="Y"/>
    <x v="1"/>
    <n v="16"/>
    <n v="3"/>
    <n v="3"/>
    <n v="80"/>
    <n v="1"/>
    <n v="6"/>
    <n v="3"/>
    <x v="1"/>
    <n v="0"/>
    <n v="0"/>
    <n v="0"/>
    <n v="0"/>
    <x v="2"/>
    <x v="1"/>
  </r>
  <r>
    <n v="39"/>
    <x v="1"/>
    <x v="0"/>
    <n v="867"/>
    <x v="1"/>
    <n v="9"/>
    <n v="2"/>
    <s v="Medical"/>
    <n v="1"/>
    <n v="1936"/>
    <n v="1"/>
    <s v="Male"/>
    <n v="87"/>
    <n v="3"/>
    <n v="2"/>
    <x v="3"/>
    <n v="1"/>
    <x v="1"/>
    <n v="5151"/>
    <n v="12315"/>
    <n v="1"/>
    <s v="Y"/>
    <x v="1"/>
    <n v="25"/>
    <n v="4"/>
    <n v="4"/>
    <n v="80"/>
    <n v="1"/>
    <n v="10"/>
    <n v="3"/>
    <x v="1"/>
    <n v="10"/>
    <n v="0"/>
    <n v="7"/>
    <n v="9"/>
    <x v="0"/>
    <x v="1"/>
  </r>
  <r>
    <n v="38"/>
    <x v="1"/>
    <x v="1"/>
    <n v="1394"/>
    <x v="1"/>
    <n v="8"/>
    <n v="3"/>
    <s v="Medical"/>
    <n v="1"/>
    <n v="1937"/>
    <n v="4"/>
    <s v="Female"/>
    <n v="58"/>
    <n v="2"/>
    <n v="2"/>
    <x v="1"/>
    <n v="2"/>
    <x v="2"/>
    <n v="2133"/>
    <n v="18115"/>
    <n v="1"/>
    <s v="Y"/>
    <x v="0"/>
    <n v="16"/>
    <n v="3"/>
    <n v="3"/>
    <n v="80"/>
    <n v="1"/>
    <n v="20"/>
    <n v="3"/>
    <x v="1"/>
    <n v="20"/>
    <n v="11"/>
    <n v="0"/>
    <n v="7"/>
    <x v="0"/>
    <x v="1"/>
  </r>
  <r>
    <n v="58"/>
    <x v="1"/>
    <x v="0"/>
    <n v="605"/>
    <x v="0"/>
    <n v="21"/>
    <n v="3"/>
    <s v="Life Sciences"/>
    <n v="1"/>
    <n v="1938"/>
    <n v="4"/>
    <s v="Female"/>
    <n v="72"/>
    <n v="3"/>
    <n v="4"/>
    <x v="5"/>
    <n v="4"/>
    <x v="1"/>
    <n v="17875"/>
    <n v="11761"/>
    <n v="4"/>
    <s v="Y"/>
    <x v="0"/>
    <n v="13"/>
    <n v="3"/>
    <n v="3"/>
    <n v="80"/>
    <n v="1"/>
    <n v="29"/>
    <n v="2"/>
    <x v="2"/>
    <n v="1"/>
    <n v="0"/>
    <n v="0"/>
    <n v="0"/>
    <x v="2"/>
    <x v="2"/>
  </r>
  <r>
    <n v="32"/>
    <x v="0"/>
    <x v="1"/>
    <n v="238"/>
    <x v="1"/>
    <n v="5"/>
    <n v="2"/>
    <s v="Life Sciences"/>
    <n v="1"/>
    <n v="1939"/>
    <n v="1"/>
    <s v="Female"/>
    <n v="47"/>
    <n v="4"/>
    <n v="1"/>
    <x v="1"/>
    <n v="3"/>
    <x v="0"/>
    <n v="2432"/>
    <n v="15318"/>
    <n v="3"/>
    <s v="Y"/>
    <x v="0"/>
    <n v="14"/>
    <n v="3"/>
    <n v="1"/>
    <n v="80"/>
    <n v="0"/>
    <n v="8"/>
    <n v="2"/>
    <x v="1"/>
    <n v="4"/>
    <n v="1"/>
    <n v="0"/>
    <n v="3"/>
    <x v="0"/>
    <x v="1"/>
  </r>
  <r>
    <n v="38"/>
    <x v="1"/>
    <x v="0"/>
    <n v="1206"/>
    <x v="1"/>
    <n v="9"/>
    <n v="2"/>
    <s v="Life Sciences"/>
    <n v="1"/>
    <n v="1940"/>
    <n v="2"/>
    <s v="Male"/>
    <n v="71"/>
    <n v="3"/>
    <n v="1"/>
    <x v="1"/>
    <n v="4"/>
    <x v="2"/>
    <n v="4771"/>
    <n v="14293"/>
    <n v="2"/>
    <s v="Y"/>
    <x v="1"/>
    <n v="19"/>
    <n v="3"/>
    <n v="4"/>
    <n v="80"/>
    <n v="2"/>
    <n v="10"/>
    <n v="0"/>
    <x v="3"/>
    <n v="5"/>
    <n v="2"/>
    <n v="0"/>
    <n v="3"/>
    <x v="0"/>
    <x v="3"/>
  </r>
  <r>
    <n v="49"/>
    <x v="1"/>
    <x v="1"/>
    <n v="1064"/>
    <x v="1"/>
    <n v="2"/>
    <n v="1"/>
    <s v="Life Sciences"/>
    <n v="1"/>
    <n v="1941"/>
    <n v="2"/>
    <s v="Male"/>
    <n v="42"/>
    <n v="3"/>
    <n v="5"/>
    <x v="7"/>
    <n v="4"/>
    <x v="1"/>
    <n v="19161"/>
    <n v="13738"/>
    <n v="3"/>
    <s v="Y"/>
    <x v="1"/>
    <n v="15"/>
    <n v="3"/>
    <n v="4"/>
    <n v="80"/>
    <n v="0"/>
    <n v="28"/>
    <n v="3"/>
    <x v="1"/>
    <n v="5"/>
    <n v="4"/>
    <n v="4"/>
    <n v="3"/>
    <x v="0"/>
    <x v="1"/>
  </r>
  <r>
    <n v="42"/>
    <x v="1"/>
    <x v="0"/>
    <n v="419"/>
    <x v="0"/>
    <n v="12"/>
    <n v="4"/>
    <s v="Marketing"/>
    <n v="1"/>
    <n v="1943"/>
    <n v="2"/>
    <s v="Male"/>
    <n v="77"/>
    <n v="3"/>
    <n v="2"/>
    <x v="0"/>
    <n v="4"/>
    <x v="2"/>
    <n v="5087"/>
    <n v="2900"/>
    <n v="3"/>
    <s v="Y"/>
    <x v="0"/>
    <n v="12"/>
    <n v="3"/>
    <n v="3"/>
    <n v="80"/>
    <n v="2"/>
    <n v="14"/>
    <n v="4"/>
    <x v="1"/>
    <n v="0"/>
    <n v="0"/>
    <n v="0"/>
    <n v="0"/>
    <x v="0"/>
    <x v="1"/>
  </r>
  <r>
    <n v="27"/>
    <x v="0"/>
    <x v="1"/>
    <n v="1337"/>
    <x v="2"/>
    <n v="22"/>
    <n v="3"/>
    <s v="Human Resources"/>
    <n v="1"/>
    <n v="1944"/>
    <n v="1"/>
    <s v="Female"/>
    <n v="58"/>
    <n v="2"/>
    <n v="1"/>
    <x v="8"/>
    <n v="2"/>
    <x v="1"/>
    <n v="2863"/>
    <n v="19555"/>
    <n v="1"/>
    <s v="Y"/>
    <x v="1"/>
    <n v="12"/>
    <n v="3"/>
    <n v="1"/>
    <n v="80"/>
    <n v="0"/>
    <n v="1"/>
    <n v="2"/>
    <x v="1"/>
    <n v="1"/>
    <n v="0"/>
    <n v="0"/>
    <n v="0"/>
    <x v="1"/>
    <x v="1"/>
  </r>
  <r>
    <n v="35"/>
    <x v="1"/>
    <x v="0"/>
    <n v="682"/>
    <x v="0"/>
    <n v="18"/>
    <n v="4"/>
    <s v="Medical"/>
    <n v="1"/>
    <n v="1945"/>
    <n v="2"/>
    <s v="Male"/>
    <n v="71"/>
    <n v="3"/>
    <n v="2"/>
    <x v="0"/>
    <n v="1"/>
    <x v="1"/>
    <n v="5561"/>
    <n v="15975"/>
    <n v="0"/>
    <s v="Y"/>
    <x v="1"/>
    <n v="16"/>
    <n v="3"/>
    <n v="4"/>
    <n v="80"/>
    <n v="1"/>
    <n v="6"/>
    <n v="2"/>
    <x v="0"/>
    <n v="5"/>
    <n v="3"/>
    <n v="0"/>
    <n v="4"/>
    <x v="0"/>
    <x v="0"/>
  </r>
  <r>
    <n v="28"/>
    <x v="1"/>
    <x v="2"/>
    <n v="1103"/>
    <x v="1"/>
    <n v="16"/>
    <n v="3"/>
    <s v="Medical"/>
    <n v="1"/>
    <n v="1947"/>
    <n v="3"/>
    <s v="Male"/>
    <n v="49"/>
    <n v="3"/>
    <n v="1"/>
    <x v="1"/>
    <n v="3"/>
    <x v="0"/>
    <n v="2144"/>
    <n v="2122"/>
    <n v="1"/>
    <s v="Y"/>
    <x v="1"/>
    <n v="14"/>
    <n v="3"/>
    <n v="3"/>
    <n v="80"/>
    <n v="0"/>
    <n v="5"/>
    <n v="3"/>
    <x v="2"/>
    <n v="5"/>
    <n v="3"/>
    <n v="1"/>
    <n v="4"/>
    <x v="1"/>
    <x v="2"/>
  </r>
  <r>
    <n v="31"/>
    <x v="1"/>
    <x v="2"/>
    <n v="976"/>
    <x v="1"/>
    <n v="3"/>
    <n v="2"/>
    <s v="Medical"/>
    <n v="1"/>
    <n v="1948"/>
    <n v="3"/>
    <s v="Male"/>
    <n v="48"/>
    <n v="3"/>
    <n v="1"/>
    <x v="1"/>
    <n v="1"/>
    <x v="2"/>
    <n v="3065"/>
    <n v="3995"/>
    <n v="1"/>
    <s v="Y"/>
    <x v="0"/>
    <n v="13"/>
    <n v="3"/>
    <n v="4"/>
    <n v="80"/>
    <n v="1"/>
    <n v="4"/>
    <n v="3"/>
    <x v="3"/>
    <n v="4"/>
    <n v="2"/>
    <n v="2"/>
    <n v="3"/>
    <x v="0"/>
    <x v="3"/>
  </r>
  <r>
    <n v="36"/>
    <x v="1"/>
    <x v="2"/>
    <n v="1351"/>
    <x v="1"/>
    <n v="9"/>
    <n v="4"/>
    <s v="Life Sciences"/>
    <n v="1"/>
    <n v="1949"/>
    <n v="1"/>
    <s v="Male"/>
    <n v="66"/>
    <n v="4"/>
    <n v="1"/>
    <x v="2"/>
    <n v="2"/>
    <x v="1"/>
    <n v="2810"/>
    <n v="9238"/>
    <n v="1"/>
    <s v="Y"/>
    <x v="1"/>
    <n v="22"/>
    <n v="4"/>
    <n v="2"/>
    <n v="80"/>
    <n v="0"/>
    <n v="5"/>
    <n v="3"/>
    <x v="1"/>
    <n v="5"/>
    <n v="4"/>
    <n v="0"/>
    <n v="2"/>
    <x v="0"/>
    <x v="1"/>
  </r>
  <r>
    <n v="34"/>
    <x v="1"/>
    <x v="0"/>
    <n v="937"/>
    <x v="0"/>
    <n v="1"/>
    <n v="3"/>
    <s v="Marketing"/>
    <n v="1"/>
    <n v="1950"/>
    <n v="1"/>
    <s v="Male"/>
    <n v="32"/>
    <n v="3"/>
    <n v="3"/>
    <x v="0"/>
    <n v="4"/>
    <x v="0"/>
    <n v="9888"/>
    <n v="6770"/>
    <n v="1"/>
    <s v="Y"/>
    <x v="1"/>
    <n v="21"/>
    <n v="4"/>
    <n v="1"/>
    <n v="80"/>
    <n v="0"/>
    <n v="14"/>
    <n v="3"/>
    <x v="2"/>
    <n v="14"/>
    <n v="8"/>
    <n v="2"/>
    <n v="1"/>
    <x v="0"/>
    <x v="2"/>
  </r>
  <r>
    <n v="34"/>
    <x v="1"/>
    <x v="0"/>
    <n v="1239"/>
    <x v="0"/>
    <n v="13"/>
    <n v="4"/>
    <s v="Medical"/>
    <n v="1"/>
    <n v="1951"/>
    <n v="4"/>
    <s v="Male"/>
    <n v="39"/>
    <n v="3"/>
    <n v="3"/>
    <x v="0"/>
    <n v="3"/>
    <x v="2"/>
    <n v="8628"/>
    <n v="22914"/>
    <n v="1"/>
    <s v="Y"/>
    <x v="1"/>
    <n v="18"/>
    <n v="3"/>
    <n v="3"/>
    <n v="80"/>
    <n v="1"/>
    <n v="9"/>
    <n v="2"/>
    <x v="2"/>
    <n v="8"/>
    <n v="7"/>
    <n v="1"/>
    <n v="1"/>
    <x v="0"/>
    <x v="2"/>
  </r>
  <r>
    <n v="26"/>
    <x v="1"/>
    <x v="0"/>
    <n v="157"/>
    <x v="1"/>
    <n v="1"/>
    <n v="3"/>
    <s v="Medical"/>
    <n v="1"/>
    <n v="1952"/>
    <n v="3"/>
    <s v="Male"/>
    <n v="95"/>
    <n v="3"/>
    <n v="1"/>
    <x v="2"/>
    <n v="1"/>
    <x v="0"/>
    <n v="2867"/>
    <n v="20006"/>
    <n v="0"/>
    <s v="Y"/>
    <x v="1"/>
    <n v="13"/>
    <n v="3"/>
    <n v="4"/>
    <n v="80"/>
    <n v="0"/>
    <n v="8"/>
    <n v="6"/>
    <x v="2"/>
    <n v="7"/>
    <n v="7"/>
    <n v="7"/>
    <n v="6"/>
    <x v="1"/>
    <x v="2"/>
  </r>
  <r>
    <n v="29"/>
    <x v="1"/>
    <x v="0"/>
    <n v="136"/>
    <x v="1"/>
    <n v="1"/>
    <n v="3"/>
    <s v="Life Sciences"/>
    <n v="1"/>
    <n v="1954"/>
    <n v="1"/>
    <s v="Male"/>
    <n v="89"/>
    <n v="3"/>
    <n v="2"/>
    <x v="4"/>
    <n v="1"/>
    <x v="1"/>
    <n v="5373"/>
    <n v="6225"/>
    <n v="0"/>
    <s v="Y"/>
    <x v="1"/>
    <n v="12"/>
    <n v="3"/>
    <n v="1"/>
    <n v="80"/>
    <n v="1"/>
    <n v="6"/>
    <n v="5"/>
    <x v="2"/>
    <n v="5"/>
    <n v="3"/>
    <n v="0"/>
    <n v="2"/>
    <x v="1"/>
    <x v="2"/>
  </r>
  <r>
    <n v="32"/>
    <x v="1"/>
    <x v="2"/>
    <n v="1146"/>
    <x v="1"/>
    <n v="15"/>
    <n v="4"/>
    <s v="Medical"/>
    <n v="1"/>
    <n v="1955"/>
    <n v="3"/>
    <s v="Female"/>
    <n v="34"/>
    <n v="3"/>
    <n v="2"/>
    <x v="4"/>
    <n v="4"/>
    <x v="2"/>
    <n v="6667"/>
    <n v="16542"/>
    <n v="5"/>
    <s v="Y"/>
    <x v="1"/>
    <n v="18"/>
    <n v="3"/>
    <n v="2"/>
    <n v="80"/>
    <n v="1"/>
    <n v="9"/>
    <n v="6"/>
    <x v="1"/>
    <n v="5"/>
    <n v="1"/>
    <n v="1"/>
    <n v="2"/>
    <x v="0"/>
    <x v="1"/>
  </r>
  <r>
    <n v="31"/>
    <x v="1"/>
    <x v="1"/>
    <n v="1125"/>
    <x v="1"/>
    <n v="1"/>
    <n v="3"/>
    <s v="Life Sciences"/>
    <n v="1"/>
    <n v="1956"/>
    <n v="4"/>
    <s v="Male"/>
    <n v="48"/>
    <n v="1"/>
    <n v="2"/>
    <x v="1"/>
    <n v="1"/>
    <x v="1"/>
    <n v="5003"/>
    <n v="5771"/>
    <n v="1"/>
    <s v="Y"/>
    <x v="1"/>
    <n v="21"/>
    <n v="4"/>
    <n v="2"/>
    <n v="80"/>
    <n v="0"/>
    <n v="10"/>
    <n v="6"/>
    <x v="1"/>
    <n v="10"/>
    <n v="8"/>
    <n v="8"/>
    <n v="7"/>
    <x v="0"/>
    <x v="1"/>
  </r>
  <r>
    <n v="28"/>
    <x v="0"/>
    <x v="0"/>
    <n v="1404"/>
    <x v="1"/>
    <n v="17"/>
    <n v="3"/>
    <s v="Technical Degree"/>
    <n v="1"/>
    <n v="1960"/>
    <n v="3"/>
    <s v="Male"/>
    <n v="32"/>
    <n v="2"/>
    <n v="1"/>
    <x v="2"/>
    <n v="4"/>
    <x v="2"/>
    <n v="2367"/>
    <n v="18779"/>
    <n v="5"/>
    <s v="Y"/>
    <x v="1"/>
    <n v="12"/>
    <n v="3"/>
    <n v="1"/>
    <n v="80"/>
    <n v="1"/>
    <n v="6"/>
    <n v="2"/>
    <x v="2"/>
    <n v="4"/>
    <n v="1"/>
    <n v="0"/>
    <n v="3"/>
    <x v="1"/>
    <x v="2"/>
  </r>
  <r>
    <n v="38"/>
    <x v="1"/>
    <x v="0"/>
    <n v="1404"/>
    <x v="0"/>
    <n v="1"/>
    <n v="3"/>
    <s v="Life Sciences"/>
    <n v="1"/>
    <n v="1961"/>
    <n v="1"/>
    <s v="Male"/>
    <n v="59"/>
    <n v="2"/>
    <n v="1"/>
    <x v="6"/>
    <n v="1"/>
    <x v="0"/>
    <n v="2858"/>
    <n v="11473"/>
    <n v="4"/>
    <s v="Y"/>
    <x v="1"/>
    <n v="14"/>
    <n v="3"/>
    <n v="1"/>
    <n v="80"/>
    <n v="0"/>
    <n v="20"/>
    <n v="3"/>
    <x v="2"/>
    <n v="1"/>
    <n v="0"/>
    <n v="0"/>
    <n v="0"/>
    <x v="0"/>
    <x v="2"/>
  </r>
  <r>
    <n v="35"/>
    <x v="1"/>
    <x v="0"/>
    <n v="1224"/>
    <x v="0"/>
    <n v="7"/>
    <n v="4"/>
    <s v="Life Sciences"/>
    <n v="1"/>
    <n v="1962"/>
    <n v="3"/>
    <s v="Female"/>
    <n v="55"/>
    <n v="3"/>
    <n v="2"/>
    <x v="0"/>
    <n v="4"/>
    <x v="1"/>
    <n v="5204"/>
    <n v="13586"/>
    <n v="1"/>
    <s v="Y"/>
    <x v="0"/>
    <n v="11"/>
    <n v="3"/>
    <n v="4"/>
    <n v="80"/>
    <n v="0"/>
    <n v="10"/>
    <n v="2"/>
    <x v="1"/>
    <n v="10"/>
    <n v="8"/>
    <n v="0"/>
    <n v="9"/>
    <x v="0"/>
    <x v="1"/>
  </r>
  <r>
    <n v="27"/>
    <x v="1"/>
    <x v="0"/>
    <n v="954"/>
    <x v="0"/>
    <n v="9"/>
    <n v="3"/>
    <s v="Marketing"/>
    <n v="1"/>
    <n v="1965"/>
    <n v="4"/>
    <s v="Male"/>
    <n v="44"/>
    <n v="3"/>
    <n v="2"/>
    <x v="0"/>
    <n v="4"/>
    <x v="0"/>
    <n v="4105"/>
    <n v="5099"/>
    <n v="1"/>
    <s v="Y"/>
    <x v="1"/>
    <n v="14"/>
    <n v="3"/>
    <n v="1"/>
    <n v="80"/>
    <n v="0"/>
    <n v="7"/>
    <n v="5"/>
    <x v="1"/>
    <n v="7"/>
    <n v="7"/>
    <n v="0"/>
    <n v="7"/>
    <x v="1"/>
    <x v="1"/>
  </r>
  <r>
    <n v="32"/>
    <x v="1"/>
    <x v="0"/>
    <n v="1373"/>
    <x v="1"/>
    <n v="5"/>
    <n v="4"/>
    <s v="Life Sciences"/>
    <n v="1"/>
    <n v="1966"/>
    <n v="4"/>
    <s v="Male"/>
    <n v="56"/>
    <n v="2"/>
    <n v="2"/>
    <x v="3"/>
    <n v="4"/>
    <x v="0"/>
    <n v="9679"/>
    <n v="10138"/>
    <n v="8"/>
    <s v="Y"/>
    <x v="1"/>
    <n v="24"/>
    <n v="4"/>
    <n v="2"/>
    <n v="80"/>
    <n v="0"/>
    <n v="8"/>
    <n v="1"/>
    <x v="1"/>
    <n v="1"/>
    <n v="0"/>
    <n v="0"/>
    <n v="0"/>
    <x v="0"/>
    <x v="1"/>
  </r>
  <r>
    <n v="31"/>
    <x v="0"/>
    <x v="1"/>
    <n v="754"/>
    <x v="0"/>
    <n v="26"/>
    <n v="4"/>
    <s v="Marketing"/>
    <n v="1"/>
    <n v="1967"/>
    <n v="1"/>
    <s v="Male"/>
    <n v="63"/>
    <n v="3"/>
    <n v="2"/>
    <x v="0"/>
    <n v="4"/>
    <x v="1"/>
    <n v="5617"/>
    <n v="21075"/>
    <n v="1"/>
    <s v="Y"/>
    <x v="0"/>
    <n v="11"/>
    <n v="3"/>
    <n v="3"/>
    <n v="80"/>
    <n v="0"/>
    <n v="10"/>
    <n v="4"/>
    <x v="1"/>
    <n v="10"/>
    <n v="7"/>
    <n v="0"/>
    <n v="8"/>
    <x v="0"/>
    <x v="1"/>
  </r>
  <r>
    <n v="53"/>
    <x v="0"/>
    <x v="0"/>
    <n v="1168"/>
    <x v="0"/>
    <n v="24"/>
    <n v="4"/>
    <s v="Life Sciences"/>
    <n v="1"/>
    <n v="1968"/>
    <n v="1"/>
    <s v="Male"/>
    <n v="66"/>
    <n v="3"/>
    <n v="3"/>
    <x v="0"/>
    <n v="1"/>
    <x v="0"/>
    <n v="10448"/>
    <n v="5843"/>
    <n v="6"/>
    <s v="Y"/>
    <x v="0"/>
    <n v="13"/>
    <n v="3"/>
    <n v="2"/>
    <n v="80"/>
    <n v="0"/>
    <n v="15"/>
    <n v="2"/>
    <x v="2"/>
    <n v="2"/>
    <n v="2"/>
    <n v="2"/>
    <n v="2"/>
    <x v="2"/>
    <x v="2"/>
  </r>
  <r>
    <n v="54"/>
    <x v="1"/>
    <x v="0"/>
    <n v="155"/>
    <x v="1"/>
    <n v="9"/>
    <n v="2"/>
    <s v="Life Sciences"/>
    <n v="1"/>
    <n v="1969"/>
    <n v="1"/>
    <s v="Female"/>
    <n v="67"/>
    <n v="3"/>
    <n v="2"/>
    <x v="1"/>
    <n v="3"/>
    <x v="1"/>
    <n v="2897"/>
    <n v="22474"/>
    <n v="3"/>
    <s v="Y"/>
    <x v="1"/>
    <n v="11"/>
    <n v="3"/>
    <n v="3"/>
    <n v="80"/>
    <n v="2"/>
    <n v="9"/>
    <n v="6"/>
    <x v="2"/>
    <n v="4"/>
    <n v="3"/>
    <n v="2"/>
    <n v="3"/>
    <x v="2"/>
    <x v="2"/>
  </r>
  <r>
    <n v="33"/>
    <x v="1"/>
    <x v="1"/>
    <n v="1303"/>
    <x v="1"/>
    <n v="7"/>
    <n v="2"/>
    <s v="Life Sciences"/>
    <n v="1"/>
    <n v="1970"/>
    <n v="4"/>
    <s v="Male"/>
    <n v="36"/>
    <n v="3"/>
    <n v="2"/>
    <x v="4"/>
    <n v="3"/>
    <x v="2"/>
    <n v="5968"/>
    <n v="18079"/>
    <n v="1"/>
    <s v="Y"/>
    <x v="1"/>
    <n v="20"/>
    <n v="4"/>
    <n v="3"/>
    <n v="80"/>
    <n v="3"/>
    <n v="9"/>
    <n v="2"/>
    <x v="1"/>
    <n v="9"/>
    <n v="7"/>
    <n v="2"/>
    <n v="8"/>
    <x v="0"/>
    <x v="1"/>
  </r>
  <r>
    <n v="43"/>
    <x v="1"/>
    <x v="0"/>
    <n v="574"/>
    <x v="1"/>
    <n v="11"/>
    <n v="3"/>
    <s v="Life Sciences"/>
    <n v="1"/>
    <n v="1971"/>
    <n v="1"/>
    <s v="Male"/>
    <n v="30"/>
    <n v="3"/>
    <n v="3"/>
    <x v="4"/>
    <n v="3"/>
    <x v="1"/>
    <n v="7510"/>
    <n v="16873"/>
    <n v="1"/>
    <s v="Y"/>
    <x v="1"/>
    <n v="17"/>
    <n v="3"/>
    <n v="2"/>
    <n v="80"/>
    <n v="1"/>
    <n v="10"/>
    <n v="1"/>
    <x v="1"/>
    <n v="10"/>
    <n v="9"/>
    <n v="0"/>
    <n v="9"/>
    <x v="0"/>
    <x v="1"/>
  </r>
  <r>
    <n v="38"/>
    <x v="1"/>
    <x v="1"/>
    <n v="1444"/>
    <x v="2"/>
    <n v="1"/>
    <n v="4"/>
    <s v="Other"/>
    <n v="1"/>
    <n v="1972"/>
    <n v="4"/>
    <s v="Male"/>
    <n v="88"/>
    <n v="3"/>
    <n v="1"/>
    <x v="8"/>
    <n v="2"/>
    <x v="1"/>
    <n v="2991"/>
    <n v="5224"/>
    <n v="0"/>
    <s v="Y"/>
    <x v="0"/>
    <n v="11"/>
    <n v="3"/>
    <n v="2"/>
    <n v="80"/>
    <n v="1"/>
    <n v="7"/>
    <n v="2"/>
    <x v="1"/>
    <n v="6"/>
    <n v="2"/>
    <n v="1"/>
    <n v="2"/>
    <x v="0"/>
    <x v="1"/>
  </r>
  <r>
    <n v="55"/>
    <x v="1"/>
    <x v="0"/>
    <n v="189"/>
    <x v="2"/>
    <n v="26"/>
    <n v="4"/>
    <s v="Human Resources"/>
    <n v="1"/>
    <n v="1973"/>
    <n v="3"/>
    <s v="Male"/>
    <n v="71"/>
    <n v="4"/>
    <n v="5"/>
    <x v="5"/>
    <n v="2"/>
    <x v="1"/>
    <n v="19636"/>
    <n v="25811"/>
    <n v="4"/>
    <s v="Y"/>
    <x v="0"/>
    <n v="18"/>
    <n v="3"/>
    <n v="1"/>
    <n v="80"/>
    <n v="1"/>
    <n v="35"/>
    <n v="0"/>
    <x v="1"/>
    <n v="10"/>
    <n v="9"/>
    <n v="1"/>
    <n v="4"/>
    <x v="2"/>
    <x v="1"/>
  </r>
  <r>
    <n v="31"/>
    <x v="1"/>
    <x v="0"/>
    <n v="1276"/>
    <x v="1"/>
    <n v="2"/>
    <n v="1"/>
    <s v="Medical"/>
    <n v="1"/>
    <n v="1974"/>
    <n v="4"/>
    <s v="Female"/>
    <n v="59"/>
    <n v="1"/>
    <n v="1"/>
    <x v="2"/>
    <n v="4"/>
    <x v="2"/>
    <n v="1129"/>
    <n v="17536"/>
    <n v="1"/>
    <s v="Y"/>
    <x v="0"/>
    <n v="11"/>
    <n v="3"/>
    <n v="3"/>
    <n v="80"/>
    <n v="3"/>
    <n v="1"/>
    <n v="4"/>
    <x v="1"/>
    <n v="1"/>
    <n v="0"/>
    <n v="0"/>
    <n v="0"/>
    <x v="0"/>
    <x v="1"/>
  </r>
  <r>
    <n v="39"/>
    <x v="1"/>
    <x v="0"/>
    <n v="119"/>
    <x v="0"/>
    <n v="15"/>
    <n v="4"/>
    <s v="Marketing"/>
    <n v="1"/>
    <n v="1975"/>
    <n v="2"/>
    <s v="Male"/>
    <n v="77"/>
    <n v="3"/>
    <n v="4"/>
    <x v="0"/>
    <n v="1"/>
    <x v="0"/>
    <n v="13341"/>
    <n v="25098"/>
    <n v="0"/>
    <s v="Y"/>
    <x v="1"/>
    <n v="12"/>
    <n v="3"/>
    <n v="1"/>
    <n v="80"/>
    <n v="0"/>
    <n v="21"/>
    <n v="3"/>
    <x v="1"/>
    <n v="20"/>
    <n v="8"/>
    <n v="11"/>
    <n v="10"/>
    <x v="0"/>
    <x v="1"/>
  </r>
  <r>
    <n v="42"/>
    <x v="1"/>
    <x v="2"/>
    <n v="335"/>
    <x v="1"/>
    <n v="23"/>
    <n v="2"/>
    <s v="Life Sciences"/>
    <n v="1"/>
    <n v="1976"/>
    <n v="4"/>
    <s v="Male"/>
    <n v="37"/>
    <n v="2"/>
    <n v="2"/>
    <x v="1"/>
    <n v="3"/>
    <x v="0"/>
    <n v="4332"/>
    <n v="14811"/>
    <n v="1"/>
    <s v="Y"/>
    <x v="1"/>
    <n v="12"/>
    <n v="3"/>
    <n v="4"/>
    <n v="80"/>
    <n v="0"/>
    <n v="20"/>
    <n v="2"/>
    <x v="1"/>
    <n v="20"/>
    <n v="9"/>
    <n v="3"/>
    <n v="7"/>
    <x v="0"/>
    <x v="1"/>
  </r>
  <r>
    <n v="31"/>
    <x v="1"/>
    <x v="2"/>
    <n v="697"/>
    <x v="1"/>
    <n v="10"/>
    <n v="3"/>
    <s v="Medical"/>
    <n v="1"/>
    <n v="1979"/>
    <n v="3"/>
    <s v="Female"/>
    <n v="40"/>
    <n v="3"/>
    <n v="3"/>
    <x v="7"/>
    <n v="3"/>
    <x v="1"/>
    <n v="11031"/>
    <n v="26862"/>
    <n v="4"/>
    <s v="Y"/>
    <x v="1"/>
    <n v="20"/>
    <n v="4"/>
    <n v="3"/>
    <n v="80"/>
    <n v="1"/>
    <n v="13"/>
    <n v="2"/>
    <x v="3"/>
    <n v="11"/>
    <n v="7"/>
    <n v="4"/>
    <n v="8"/>
    <x v="0"/>
    <x v="3"/>
  </r>
  <r>
    <n v="54"/>
    <x v="1"/>
    <x v="0"/>
    <n v="157"/>
    <x v="1"/>
    <n v="10"/>
    <n v="3"/>
    <s v="Medical"/>
    <n v="1"/>
    <n v="1980"/>
    <n v="3"/>
    <s v="Female"/>
    <n v="77"/>
    <n v="3"/>
    <n v="2"/>
    <x v="3"/>
    <n v="1"/>
    <x v="0"/>
    <n v="4440"/>
    <n v="25198"/>
    <n v="6"/>
    <s v="Y"/>
    <x v="0"/>
    <n v="19"/>
    <n v="3"/>
    <n v="4"/>
    <n v="80"/>
    <n v="0"/>
    <n v="9"/>
    <n v="3"/>
    <x v="1"/>
    <n v="5"/>
    <n v="2"/>
    <n v="1"/>
    <n v="4"/>
    <x v="2"/>
    <x v="1"/>
  </r>
  <r>
    <n v="24"/>
    <x v="1"/>
    <x v="0"/>
    <n v="771"/>
    <x v="1"/>
    <n v="1"/>
    <n v="2"/>
    <s v="Life Sciences"/>
    <n v="1"/>
    <n v="1981"/>
    <n v="2"/>
    <s v="Male"/>
    <n v="45"/>
    <n v="2"/>
    <n v="2"/>
    <x v="4"/>
    <n v="3"/>
    <x v="0"/>
    <n v="4617"/>
    <n v="14120"/>
    <n v="1"/>
    <s v="Y"/>
    <x v="1"/>
    <n v="12"/>
    <n v="3"/>
    <n v="2"/>
    <n v="80"/>
    <n v="0"/>
    <n v="4"/>
    <n v="2"/>
    <x v="2"/>
    <n v="4"/>
    <n v="3"/>
    <n v="1"/>
    <n v="2"/>
    <x v="1"/>
    <x v="2"/>
  </r>
  <r>
    <n v="23"/>
    <x v="1"/>
    <x v="0"/>
    <n v="571"/>
    <x v="1"/>
    <n v="12"/>
    <n v="2"/>
    <s v="Other"/>
    <n v="1"/>
    <n v="1982"/>
    <n v="4"/>
    <s v="Male"/>
    <n v="78"/>
    <n v="3"/>
    <n v="1"/>
    <x v="2"/>
    <n v="4"/>
    <x v="0"/>
    <n v="2647"/>
    <n v="13672"/>
    <n v="1"/>
    <s v="Y"/>
    <x v="1"/>
    <n v="13"/>
    <n v="3"/>
    <n v="3"/>
    <n v="80"/>
    <n v="0"/>
    <n v="5"/>
    <n v="6"/>
    <x v="3"/>
    <n v="5"/>
    <n v="2"/>
    <n v="1"/>
    <n v="4"/>
    <x v="1"/>
    <x v="3"/>
  </r>
  <r>
    <n v="40"/>
    <x v="1"/>
    <x v="1"/>
    <n v="692"/>
    <x v="1"/>
    <n v="11"/>
    <n v="3"/>
    <s v="Technical Degree"/>
    <n v="1"/>
    <n v="1985"/>
    <n v="4"/>
    <s v="Female"/>
    <n v="73"/>
    <n v="3"/>
    <n v="2"/>
    <x v="2"/>
    <n v="3"/>
    <x v="1"/>
    <n v="6323"/>
    <n v="26849"/>
    <n v="1"/>
    <s v="Y"/>
    <x v="1"/>
    <n v="11"/>
    <n v="3"/>
    <n v="1"/>
    <n v="80"/>
    <n v="1"/>
    <n v="10"/>
    <n v="2"/>
    <x v="3"/>
    <n v="10"/>
    <n v="9"/>
    <n v="9"/>
    <n v="4"/>
    <x v="0"/>
    <x v="3"/>
  </r>
  <r>
    <n v="40"/>
    <x v="1"/>
    <x v="0"/>
    <n v="444"/>
    <x v="0"/>
    <n v="2"/>
    <n v="2"/>
    <s v="Marketing"/>
    <n v="1"/>
    <n v="1986"/>
    <n v="2"/>
    <s v="Female"/>
    <n v="92"/>
    <n v="3"/>
    <n v="2"/>
    <x v="0"/>
    <n v="2"/>
    <x v="1"/>
    <n v="5677"/>
    <n v="4258"/>
    <n v="3"/>
    <s v="Y"/>
    <x v="1"/>
    <n v="14"/>
    <n v="3"/>
    <n v="3"/>
    <n v="80"/>
    <n v="1"/>
    <n v="15"/>
    <n v="4"/>
    <x v="1"/>
    <n v="11"/>
    <n v="8"/>
    <n v="5"/>
    <n v="10"/>
    <x v="0"/>
    <x v="1"/>
  </r>
  <r>
    <n v="25"/>
    <x v="1"/>
    <x v="0"/>
    <n v="309"/>
    <x v="2"/>
    <n v="2"/>
    <n v="3"/>
    <s v="Human Resources"/>
    <n v="1"/>
    <n v="1987"/>
    <n v="3"/>
    <s v="Female"/>
    <n v="82"/>
    <n v="3"/>
    <n v="1"/>
    <x v="8"/>
    <n v="2"/>
    <x v="1"/>
    <n v="2187"/>
    <n v="19655"/>
    <n v="4"/>
    <s v="Y"/>
    <x v="1"/>
    <n v="14"/>
    <n v="3"/>
    <n v="3"/>
    <n v="80"/>
    <n v="0"/>
    <n v="6"/>
    <n v="3"/>
    <x v="1"/>
    <n v="2"/>
    <n v="0"/>
    <n v="1"/>
    <n v="2"/>
    <x v="1"/>
    <x v="1"/>
  </r>
  <r>
    <n v="30"/>
    <x v="1"/>
    <x v="0"/>
    <n v="911"/>
    <x v="1"/>
    <n v="1"/>
    <n v="2"/>
    <s v="Medical"/>
    <n v="1"/>
    <n v="1989"/>
    <n v="4"/>
    <s v="Male"/>
    <n v="76"/>
    <n v="3"/>
    <n v="1"/>
    <x v="2"/>
    <n v="2"/>
    <x v="1"/>
    <n v="3748"/>
    <n v="4077"/>
    <n v="1"/>
    <s v="Y"/>
    <x v="1"/>
    <n v="13"/>
    <n v="3"/>
    <n v="3"/>
    <n v="80"/>
    <n v="0"/>
    <n v="12"/>
    <n v="6"/>
    <x v="2"/>
    <n v="12"/>
    <n v="8"/>
    <n v="1"/>
    <n v="7"/>
    <x v="1"/>
    <x v="2"/>
  </r>
  <r>
    <n v="25"/>
    <x v="1"/>
    <x v="0"/>
    <n v="977"/>
    <x v="1"/>
    <n v="2"/>
    <n v="1"/>
    <s v="Other"/>
    <n v="1"/>
    <n v="1992"/>
    <n v="4"/>
    <s v="Male"/>
    <n v="57"/>
    <n v="3"/>
    <n v="1"/>
    <x v="2"/>
    <n v="3"/>
    <x v="2"/>
    <n v="3977"/>
    <n v="7298"/>
    <n v="6"/>
    <s v="Y"/>
    <x v="0"/>
    <n v="19"/>
    <n v="3"/>
    <n v="3"/>
    <n v="80"/>
    <n v="1"/>
    <n v="7"/>
    <n v="2"/>
    <x v="2"/>
    <n v="2"/>
    <n v="2"/>
    <n v="0"/>
    <n v="2"/>
    <x v="1"/>
    <x v="2"/>
  </r>
  <r>
    <n v="47"/>
    <x v="1"/>
    <x v="0"/>
    <n v="1180"/>
    <x v="1"/>
    <n v="25"/>
    <n v="3"/>
    <s v="Medical"/>
    <n v="1"/>
    <n v="1993"/>
    <n v="1"/>
    <s v="Male"/>
    <n v="84"/>
    <n v="3"/>
    <n v="3"/>
    <x v="4"/>
    <n v="3"/>
    <x v="0"/>
    <n v="8633"/>
    <n v="13084"/>
    <n v="2"/>
    <s v="Y"/>
    <x v="1"/>
    <n v="23"/>
    <n v="4"/>
    <n v="2"/>
    <n v="80"/>
    <n v="0"/>
    <n v="25"/>
    <n v="3"/>
    <x v="1"/>
    <n v="17"/>
    <n v="14"/>
    <n v="12"/>
    <n v="11"/>
    <x v="0"/>
    <x v="1"/>
  </r>
  <r>
    <n v="33"/>
    <x v="1"/>
    <x v="2"/>
    <n v="1313"/>
    <x v="1"/>
    <n v="1"/>
    <n v="2"/>
    <s v="Medical"/>
    <n v="1"/>
    <n v="1994"/>
    <n v="2"/>
    <s v="Male"/>
    <n v="59"/>
    <n v="2"/>
    <n v="1"/>
    <x v="2"/>
    <n v="3"/>
    <x v="2"/>
    <n v="2008"/>
    <n v="20439"/>
    <n v="1"/>
    <s v="Y"/>
    <x v="1"/>
    <n v="12"/>
    <n v="3"/>
    <n v="3"/>
    <n v="80"/>
    <n v="3"/>
    <n v="1"/>
    <n v="2"/>
    <x v="2"/>
    <n v="1"/>
    <n v="1"/>
    <n v="0"/>
    <n v="0"/>
    <x v="0"/>
    <x v="2"/>
  </r>
  <r>
    <n v="38"/>
    <x v="1"/>
    <x v="0"/>
    <n v="1321"/>
    <x v="0"/>
    <n v="1"/>
    <n v="4"/>
    <s v="Life Sciences"/>
    <n v="1"/>
    <n v="1995"/>
    <n v="4"/>
    <s v="Male"/>
    <n v="86"/>
    <n v="3"/>
    <n v="2"/>
    <x v="0"/>
    <n v="2"/>
    <x v="1"/>
    <n v="4440"/>
    <n v="7636"/>
    <n v="0"/>
    <s v="Y"/>
    <x v="1"/>
    <n v="15"/>
    <n v="3"/>
    <n v="1"/>
    <n v="80"/>
    <n v="2"/>
    <n v="16"/>
    <n v="3"/>
    <x v="1"/>
    <n v="15"/>
    <n v="13"/>
    <n v="5"/>
    <n v="8"/>
    <x v="0"/>
    <x v="1"/>
  </r>
  <r>
    <n v="31"/>
    <x v="1"/>
    <x v="0"/>
    <n v="1154"/>
    <x v="0"/>
    <n v="2"/>
    <n v="2"/>
    <s v="Life Sciences"/>
    <n v="1"/>
    <n v="1996"/>
    <n v="1"/>
    <s v="Male"/>
    <n v="54"/>
    <n v="3"/>
    <n v="1"/>
    <x v="6"/>
    <n v="3"/>
    <x v="1"/>
    <n v="3067"/>
    <n v="6393"/>
    <n v="0"/>
    <s v="Y"/>
    <x v="1"/>
    <n v="19"/>
    <n v="3"/>
    <n v="3"/>
    <n v="80"/>
    <n v="1"/>
    <n v="3"/>
    <n v="1"/>
    <x v="1"/>
    <n v="2"/>
    <n v="2"/>
    <n v="1"/>
    <n v="2"/>
    <x v="0"/>
    <x v="1"/>
  </r>
  <r>
    <n v="38"/>
    <x v="1"/>
    <x v="1"/>
    <n v="508"/>
    <x v="1"/>
    <n v="6"/>
    <n v="4"/>
    <s v="Life Sciences"/>
    <n v="1"/>
    <n v="1997"/>
    <n v="1"/>
    <s v="Male"/>
    <n v="72"/>
    <n v="2"/>
    <n v="2"/>
    <x v="3"/>
    <n v="3"/>
    <x v="1"/>
    <n v="5321"/>
    <n v="14284"/>
    <n v="2"/>
    <s v="Y"/>
    <x v="1"/>
    <n v="11"/>
    <n v="3"/>
    <n v="4"/>
    <n v="80"/>
    <n v="1"/>
    <n v="10"/>
    <n v="1"/>
    <x v="1"/>
    <n v="8"/>
    <n v="3"/>
    <n v="7"/>
    <n v="7"/>
    <x v="0"/>
    <x v="1"/>
  </r>
  <r>
    <n v="42"/>
    <x v="1"/>
    <x v="0"/>
    <n v="557"/>
    <x v="1"/>
    <n v="18"/>
    <n v="4"/>
    <s v="Life Sciences"/>
    <n v="1"/>
    <n v="1998"/>
    <n v="4"/>
    <s v="Male"/>
    <n v="35"/>
    <n v="3"/>
    <n v="2"/>
    <x v="1"/>
    <n v="1"/>
    <x v="2"/>
    <n v="5410"/>
    <n v="11189"/>
    <n v="6"/>
    <s v="Y"/>
    <x v="0"/>
    <n v="17"/>
    <n v="3"/>
    <n v="3"/>
    <n v="80"/>
    <n v="1"/>
    <n v="9"/>
    <n v="3"/>
    <x v="2"/>
    <n v="4"/>
    <n v="3"/>
    <n v="1"/>
    <n v="2"/>
    <x v="0"/>
    <x v="2"/>
  </r>
  <r>
    <n v="41"/>
    <x v="1"/>
    <x v="0"/>
    <n v="642"/>
    <x v="1"/>
    <n v="1"/>
    <n v="3"/>
    <s v="Life Sciences"/>
    <n v="1"/>
    <n v="1999"/>
    <n v="4"/>
    <s v="Male"/>
    <n v="76"/>
    <n v="3"/>
    <n v="1"/>
    <x v="1"/>
    <n v="4"/>
    <x v="1"/>
    <n v="2782"/>
    <n v="21412"/>
    <n v="3"/>
    <s v="Y"/>
    <x v="1"/>
    <n v="22"/>
    <n v="4"/>
    <n v="1"/>
    <n v="80"/>
    <n v="1"/>
    <n v="12"/>
    <n v="3"/>
    <x v="1"/>
    <n v="5"/>
    <n v="3"/>
    <n v="1"/>
    <n v="0"/>
    <x v="0"/>
    <x v="1"/>
  </r>
  <r>
    <n v="47"/>
    <x v="1"/>
    <x v="2"/>
    <n v="1162"/>
    <x v="1"/>
    <n v="1"/>
    <n v="1"/>
    <s v="Medical"/>
    <n v="1"/>
    <n v="2000"/>
    <n v="3"/>
    <s v="Female"/>
    <n v="98"/>
    <n v="3"/>
    <n v="3"/>
    <x v="7"/>
    <n v="2"/>
    <x v="1"/>
    <n v="11957"/>
    <n v="17231"/>
    <n v="0"/>
    <s v="Y"/>
    <x v="1"/>
    <n v="18"/>
    <n v="3"/>
    <n v="1"/>
    <n v="80"/>
    <n v="2"/>
    <n v="14"/>
    <n v="3"/>
    <x v="0"/>
    <n v="13"/>
    <n v="8"/>
    <n v="5"/>
    <n v="12"/>
    <x v="0"/>
    <x v="0"/>
  </r>
  <r>
    <n v="35"/>
    <x v="1"/>
    <x v="0"/>
    <n v="1490"/>
    <x v="1"/>
    <n v="11"/>
    <n v="4"/>
    <s v="Medical"/>
    <n v="1"/>
    <n v="2003"/>
    <n v="4"/>
    <s v="Male"/>
    <n v="43"/>
    <n v="3"/>
    <n v="1"/>
    <x v="2"/>
    <n v="3"/>
    <x v="1"/>
    <n v="2660"/>
    <n v="20232"/>
    <n v="7"/>
    <s v="Y"/>
    <x v="0"/>
    <n v="11"/>
    <n v="3"/>
    <n v="3"/>
    <n v="80"/>
    <n v="1"/>
    <n v="5"/>
    <n v="3"/>
    <x v="1"/>
    <n v="2"/>
    <n v="2"/>
    <n v="2"/>
    <n v="2"/>
    <x v="0"/>
    <x v="1"/>
  </r>
  <r>
    <n v="22"/>
    <x v="1"/>
    <x v="0"/>
    <n v="581"/>
    <x v="1"/>
    <n v="1"/>
    <n v="2"/>
    <s v="Life Sciences"/>
    <n v="1"/>
    <n v="2007"/>
    <n v="4"/>
    <s v="Male"/>
    <n v="63"/>
    <n v="3"/>
    <n v="1"/>
    <x v="1"/>
    <n v="3"/>
    <x v="0"/>
    <n v="3375"/>
    <n v="17624"/>
    <n v="0"/>
    <s v="Y"/>
    <x v="1"/>
    <n v="12"/>
    <n v="3"/>
    <n v="4"/>
    <n v="80"/>
    <n v="0"/>
    <n v="4"/>
    <n v="2"/>
    <x v="3"/>
    <n v="3"/>
    <n v="2"/>
    <n v="1"/>
    <n v="2"/>
    <x v="1"/>
    <x v="3"/>
  </r>
  <r>
    <n v="35"/>
    <x v="1"/>
    <x v="0"/>
    <n v="1395"/>
    <x v="1"/>
    <n v="9"/>
    <n v="4"/>
    <s v="Medical"/>
    <n v="1"/>
    <n v="2008"/>
    <n v="2"/>
    <s v="Male"/>
    <n v="48"/>
    <n v="3"/>
    <n v="2"/>
    <x v="1"/>
    <n v="3"/>
    <x v="0"/>
    <n v="5098"/>
    <n v="18698"/>
    <n v="1"/>
    <s v="Y"/>
    <x v="1"/>
    <n v="19"/>
    <n v="3"/>
    <n v="2"/>
    <n v="80"/>
    <n v="0"/>
    <n v="10"/>
    <n v="5"/>
    <x v="1"/>
    <n v="10"/>
    <n v="7"/>
    <n v="0"/>
    <n v="8"/>
    <x v="0"/>
    <x v="1"/>
  </r>
  <r>
    <n v="33"/>
    <x v="1"/>
    <x v="0"/>
    <n v="501"/>
    <x v="1"/>
    <n v="15"/>
    <n v="2"/>
    <s v="Medical"/>
    <n v="1"/>
    <n v="2009"/>
    <n v="2"/>
    <s v="Female"/>
    <n v="95"/>
    <n v="3"/>
    <n v="2"/>
    <x v="4"/>
    <n v="4"/>
    <x v="1"/>
    <n v="4878"/>
    <n v="21653"/>
    <n v="0"/>
    <s v="Y"/>
    <x v="0"/>
    <n v="13"/>
    <n v="3"/>
    <n v="1"/>
    <n v="80"/>
    <n v="1"/>
    <n v="10"/>
    <n v="6"/>
    <x v="1"/>
    <n v="9"/>
    <n v="7"/>
    <n v="8"/>
    <n v="1"/>
    <x v="0"/>
    <x v="1"/>
  </r>
  <r>
    <n v="32"/>
    <x v="1"/>
    <x v="0"/>
    <n v="267"/>
    <x v="1"/>
    <n v="29"/>
    <n v="4"/>
    <s v="Life Sciences"/>
    <n v="1"/>
    <n v="2010"/>
    <n v="3"/>
    <s v="Female"/>
    <n v="49"/>
    <n v="2"/>
    <n v="1"/>
    <x v="2"/>
    <n v="2"/>
    <x v="0"/>
    <n v="2837"/>
    <n v="15919"/>
    <n v="1"/>
    <s v="Y"/>
    <x v="1"/>
    <n v="13"/>
    <n v="3"/>
    <n v="3"/>
    <n v="80"/>
    <n v="0"/>
    <n v="6"/>
    <n v="3"/>
    <x v="1"/>
    <n v="6"/>
    <n v="2"/>
    <n v="4"/>
    <n v="1"/>
    <x v="0"/>
    <x v="1"/>
  </r>
  <r>
    <n v="40"/>
    <x v="1"/>
    <x v="0"/>
    <n v="543"/>
    <x v="1"/>
    <n v="1"/>
    <n v="4"/>
    <s v="Life Sciences"/>
    <n v="1"/>
    <n v="2012"/>
    <n v="1"/>
    <s v="Male"/>
    <n v="83"/>
    <n v="3"/>
    <n v="1"/>
    <x v="2"/>
    <n v="4"/>
    <x v="1"/>
    <n v="2406"/>
    <n v="4060"/>
    <n v="8"/>
    <s v="Y"/>
    <x v="1"/>
    <n v="19"/>
    <n v="3"/>
    <n v="3"/>
    <n v="80"/>
    <n v="2"/>
    <n v="8"/>
    <n v="3"/>
    <x v="2"/>
    <n v="1"/>
    <n v="0"/>
    <n v="0"/>
    <n v="0"/>
    <x v="0"/>
    <x v="2"/>
  </r>
  <r>
    <n v="32"/>
    <x v="1"/>
    <x v="0"/>
    <n v="234"/>
    <x v="0"/>
    <n v="1"/>
    <n v="4"/>
    <s v="Medical"/>
    <n v="1"/>
    <n v="2013"/>
    <n v="2"/>
    <s v="Male"/>
    <n v="68"/>
    <n v="2"/>
    <n v="1"/>
    <x v="6"/>
    <n v="2"/>
    <x v="1"/>
    <n v="2269"/>
    <n v="18024"/>
    <n v="0"/>
    <s v="Y"/>
    <x v="1"/>
    <n v="14"/>
    <n v="3"/>
    <n v="2"/>
    <n v="80"/>
    <n v="1"/>
    <n v="3"/>
    <n v="2"/>
    <x v="1"/>
    <n v="2"/>
    <n v="2"/>
    <n v="2"/>
    <n v="2"/>
    <x v="0"/>
    <x v="1"/>
  </r>
  <r>
    <n v="39"/>
    <x v="1"/>
    <x v="0"/>
    <n v="116"/>
    <x v="1"/>
    <n v="24"/>
    <n v="1"/>
    <s v="Life Sciences"/>
    <n v="1"/>
    <n v="2014"/>
    <n v="1"/>
    <s v="Male"/>
    <n v="52"/>
    <n v="3"/>
    <n v="2"/>
    <x v="1"/>
    <n v="4"/>
    <x v="0"/>
    <n v="4108"/>
    <n v="5340"/>
    <n v="7"/>
    <s v="Y"/>
    <x v="1"/>
    <n v="13"/>
    <n v="3"/>
    <n v="1"/>
    <n v="80"/>
    <n v="0"/>
    <n v="18"/>
    <n v="2"/>
    <x v="1"/>
    <n v="7"/>
    <n v="7"/>
    <n v="1"/>
    <n v="7"/>
    <x v="0"/>
    <x v="1"/>
  </r>
  <r>
    <n v="38"/>
    <x v="1"/>
    <x v="0"/>
    <n v="201"/>
    <x v="1"/>
    <n v="10"/>
    <n v="3"/>
    <s v="Medical"/>
    <n v="1"/>
    <n v="2015"/>
    <n v="2"/>
    <s v="Female"/>
    <n v="99"/>
    <n v="1"/>
    <n v="3"/>
    <x v="7"/>
    <n v="3"/>
    <x v="1"/>
    <n v="13206"/>
    <n v="3376"/>
    <n v="3"/>
    <s v="Y"/>
    <x v="1"/>
    <n v="12"/>
    <n v="3"/>
    <n v="1"/>
    <n v="80"/>
    <n v="1"/>
    <n v="20"/>
    <n v="3"/>
    <x v="1"/>
    <n v="18"/>
    <n v="16"/>
    <n v="1"/>
    <n v="11"/>
    <x v="0"/>
    <x v="1"/>
  </r>
  <r>
    <n v="32"/>
    <x v="1"/>
    <x v="0"/>
    <n v="801"/>
    <x v="0"/>
    <n v="1"/>
    <n v="4"/>
    <s v="Marketing"/>
    <n v="1"/>
    <n v="2016"/>
    <n v="3"/>
    <s v="Female"/>
    <n v="48"/>
    <n v="3"/>
    <n v="3"/>
    <x v="0"/>
    <n v="4"/>
    <x v="1"/>
    <n v="10422"/>
    <n v="24032"/>
    <n v="1"/>
    <s v="Y"/>
    <x v="1"/>
    <n v="19"/>
    <n v="3"/>
    <n v="3"/>
    <n v="80"/>
    <n v="2"/>
    <n v="14"/>
    <n v="3"/>
    <x v="1"/>
    <n v="14"/>
    <n v="10"/>
    <n v="5"/>
    <n v="7"/>
    <x v="0"/>
    <x v="1"/>
  </r>
  <r>
    <n v="37"/>
    <x v="1"/>
    <x v="0"/>
    <n v="161"/>
    <x v="1"/>
    <n v="10"/>
    <n v="3"/>
    <s v="Life Sciences"/>
    <n v="1"/>
    <n v="2017"/>
    <n v="3"/>
    <s v="Female"/>
    <n v="42"/>
    <n v="4"/>
    <n v="3"/>
    <x v="7"/>
    <n v="4"/>
    <x v="1"/>
    <n v="13744"/>
    <n v="15471"/>
    <n v="1"/>
    <s v="Y"/>
    <x v="0"/>
    <n v="25"/>
    <n v="4"/>
    <n v="1"/>
    <n v="80"/>
    <n v="1"/>
    <n v="16"/>
    <n v="2"/>
    <x v="1"/>
    <n v="16"/>
    <n v="11"/>
    <n v="6"/>
    <n v="8"/>
    <x v="0"/>
    <x v="1"/>
  </r>
  <r>
    <n v="25"/>
    <x v="1"/>
    <x v="0"/>
    <n v="1382"/>
    <x v="0"/>
    <n v="8"/>
    <n v="2"/>
    <s v="Other"/>
    <n v="1"/>
    <n v="2018"/>
    <n v="1"/>
    <s v="Female"/>
    <n v="85"/>
    <n v="3"/>
    <n v="2"/>
    <x v="0"/>
    <n v="3"/>
    <x v="2"/>
    <n v="4907"/>
    <n v="13684"/>
    <n v="0"/>
    <s v="Y"/>
    <x v="0"/>
    <n v="22"/>
    <n v="4"/>
    <n v="2"/>
    <n v="80"/>
    <n v="1"/>
    <n v="6"/>
    <n v="3"/>
    <x v="2"/>
    <n v="5"/>
    <n v="3"/>
    <n v="0"/>
    <n v="4"/>
    <x v="1"/>
    <x v="2"/>
  </r>
  <r>
    <n v="52"/>
    <x v="1"/>
    <x v="2"/>
    <n v="585"/>
    <x v="0"/>
    <n v="29"/>
    <n v="4"/>
    <s v="Life Sciences"/>
    <n v="1"/>
    <n v="2019"/>
    <n v="1"/>
    <s v="Male"/>
    <n v="40"/>
    <n v="3"/>
    <n v="1"/>
    <x v="6"/>
    <n v="4"/>
    <x v="2"/>
    <n v="3482"/>
    <n v="19788"/>
    <n v="2"/>
    <s v="Y"/>
    <x v="1"/>
    <n v="15"/>
    <n v="3"/>
    <n v="2"/>
    <n v="80"/>
    <n v="2"/>
    <n v="16"/>
    <n v="3"/>
    <x v="2"/>
    <n v="9"/>
    <n v="8"/>
    <n v="0"/>
    <n v="0"/>
    <x v="2"/>
    <x v="2"/>
  </r>
  <r>
    <n v="44"/>
    <x v="1"/>
    <x v="0"/>
    <n v="1037"/>
    <x v="1"/>
    <n v="1"/>
    <n v="3"/>
    <s v="Medical"/>
    <n v="1"/>
    <n v="2020"/>
    <n v="2"/>
    <s v="Male"/>
    <n v="42"/>
    <n v="3"/>
    <n v="1"/>
    <x v="1"/>
    <n v="4"/>
    <x v="0"/>
    <n v="2436"/>
    <n v="13422"/>
    <n v="6"/>
    <s v="Y"/>
    <x v="0"/>
    <n v="12"/>
    <n v="3"/>
    <n v="3"/>
    <n v="80"/>
    <n v="0"/>
    <n v="6"/>
    <n v="2"/>
    <x v="1"/>
    <n v="4"/>
    <n v="3"/>
    <n v="1"/>
    <n v="2"/>
    <x v="0"/>
    <x v="1"/>
  </r>
  <r>
    <n v="21"/>
    <x v="1"/>
    <x v="0"/>
    <n v="501"/>
    <x v="0"/>
    <n v="5"/>
    <n v="1"/>
    <s v="Medical"/>
    <n v="1"/>
    <n v="2021"/>
    <n v="3"/>
    <s v="Male"/>
    <n v="58"/>
    <n v="3"/>
    <n v="1"/>
    <x v="6"/>
    <n v="1"/>
    <x v="0"/>
    <n v="2380"/>
    <n v="25479"/>
    <n v="1"/>
    <s v="Y"/>
    <x v="0"/>
    <n v="11"/>
    <n v="3"/>
    <n v="4"/>
    <n v="80"/>
    <n v="0"/>
    <n v="2"/>
    <n v="6"/>
    <x v="1"/>
    <n v="2"/>
    <n v="2"/>
    <n v="1"/>
    <n v="2"/>
    <x v="1"/>
    <x v="1"/>
  </r>
  <r>
    <n v="39"/>
    <x v="1"/>
    <x v="2"/>
    <n v="105"/>
    <x v="1"/>
    <n v="9"/>
    <n v="3"/>
    <s v="Life Sciences"/>
    <n v="1"/>
    <n v="2022"/>
    <n v="4"/>
    <s v="Male"/>
    <n v="87"/>
    <n v="3"/>
    <n v="5"/>
    <x v="5"/>
    <n v="4"/>
    <x v="0"/>
    <n v="19431"/>
    <n v="15302"/>
    <n v="2"/>
    <s v="Y"/>
    <x v="1"/>
    <n v="13"/>
    <n v="3"/>
    <n v="3"/>
    <n v="80"/>
    <n v="0"/>
    <n v="21"/>
    <n v="3"/>
    <x v="2"/>
    <n v="6"/>
    <n v="0"/>
    <n v="1"/>
    <n v="3"/>
    <x v="0"/>
    <x v="2"/>
  </r>
  <r>
    <n v="23"/>
    <x v="0"/>
    <x v="1"/>
    <n v="638"/>
    <x v="0"/>
    <n v="9"/>
    <n v="3"/>
    <s v="Marketing"/>
    <n v="1"/>
    <n v="2023"/>
    <n v="4"/>
    <s v="Male"/>
    <n v="33"/>
    <n v="3"/>
    <n v="1"/>
    <x v="6"/>
    <n v="1"/>
    <x v="1"/>
    <n v="1790"/>
    <n v="26956"/>
    <n v="1"/>
    <s v="Y"/>
    <x v="1"/>
    <n v="19"/>
    <n v="3"/>
    <n v="1"/>
    <n v="80"/>
    <n v="1"/>
    <n v="1"/>
    <n v="3"/>
    <x v="2"/>
    <n v="1"/>
    <n v="0"/>
    <n v="1"/>
    <n v="0"/>
    <x v="1"/>
    <x v="2"/>
  </r>
  <r>
    <n v="36"/>
    <x v="1"/>
    <x v="0"/>
    <n v="557"/>
    <x v="0"/>
    <n v="3"/>
    <n v="3"/>
    <s v="Medical"/>
    <n v="1"/>
    <n v="2024"/>
    <n v="1"/>
    <s v="Female"/>
    <n v="94"/>
    <n v="2"/>
    <n v="3"/>
    <x v="0"/>
    <n v="4"/>
    <x v="1"/>
    <n v="7644"/>
    <n v="12695"/>
    <n v="0"/>
    <s v="Y"/>
    <x v="1"/>
    <n v="19"/>
    <n v="3"/>
    <n v="3"/>
    <n v="80"/>
    <n v="2"/>
    <n v="10"/>
    <n v="2"/>
    <x v="1"/>
    <n v="9"/>
    <n v="7"/>
    <n v="3"/>
    <n v="4"/>
    <x v="0"/>
    <x v="1"/>
  </r>
  <r>
    <n v="36"/>
    <x v="1"/>
    <x v="1"/>
    <n v="688"/>
    <x v="1"/>
    <n v="4"/>
    <n v="2"/>
    <s v="Life Sciences"/>
    <n v="1"/>
    <n v="2025"/>
    <n v="4"/>
    <s v="Female"/>
    <n v="97"/>
    <n v="3"/>
    <n v="2"/>
    <x v="3"/>
    <n v="2"/>
    <x v="2"/>
    <n v="5131"/>
    <n v="9192"/>
    <n v="7"/>
    <s v="Y"/>
    <x v="1"/>
    <n v="13"/>
    <n v="3"/>
    <n v="2"/>
    <n v="80"/>
    <n v="3"/>
    <n v="18"/>
    <n v="3"/>
    <x v="1"/>
    <n v="4"/>
    <n v="2"/>
    <n v="0"/>
    <n v="2"/>
    <x v="0"/>
    <x v="1"/>
  </r>
  <r>
    <n v="56"/>
    <x v="1"/>
    <x v="2"/>
    <n v="667"/>
    <x v="1"/>
    <n v="1"/>
    <n v="4"/>
    <s v="Life Sciences"/>
    <n v="1"/>
    <n v="2026"/>
    <n v="3"/>
    <s v="Male"/>
    <n v="57"/>
    <n v="3"/>
    <n v="2"/>
    <x v="4"/>
    <n v="3"/>
    <x v="2"/>
    <n v="6306"/>
    <n v="26236"/>
    <n v="1"/>
    <s v="Y"/>
    <x v="1"/>
    <n v="21"/>
    <n v="4"/>
    <n v="1"/>
    <n v="80"/>
    <n v="1"/>
    <n v="13"/>
    <n v="2"/>
    <x v="2"/>
    <n v="13"/>
    <n v="12"/>
    <n v="1"/>
    <n v="9"/>
    <x v="2"/>
    <x v="2"/>
  </r>
  <r>
    <n v="29"/>
    <x v="0"/>
    <x v="0"/>
    <n v="1092"/>
    <x v="1"/>
    <n v="1"/>
    <n v="4"/>
    <s v="Medical"/>
    <n v="1"/>
    <n v="2027"/>
    <n v="1"/>
    <s v="Male"/>
    <n v="36"/>
    <n v="3"/>
    <n v="1"/>
    <x v="1"/>
    <n v="4"/>
    <x v="1"/>
    <n v="4787"/>
    <n v="26124"/>
    <n v="9"/>
    <s v="Y"/>
    <x v="0"/>
    <n v="14"/>
    <n v="3"/>
    <n v="2"/>
    <n v="80"/>
    <n v="3"/>
    <n v="4"/>
    <n v="3"/>
    <x v="3"/>
    <n v="2"/>
    <n v="2"/>
    <n v="2"/>
    <n v="2"/>
    <x v="1"/>
    <x v="3"/>
  </r>
  <r>
    <n v="42"/>
    <x v="1"/>
    <x v="0"/>
    <n v="300"/>
    <x v="1"/>
    <n v="2"/>
    <n v="3"/>
    <s v="Life Sciences"/>
    <n v="1"/>
    <n v="2031"/>
    <n v="1"/>
    <s v="Male"/>
    <n v="56"/>
    <n v="3"/>
    <n v="5"/>
    <x v="5"/>
    <n v="3"/>
    <x v="1"/>
    <n v="18880"/>
    <n v="17312"/>
    <n v="5"/>
    <s v="Y"/>
    <x v="1"/>
    <n v="11"/>
    <n v="3"/>
    <n v="1"/>
    <n v="80"/>
    <n v="0"/>
    <n v="24"/>
    <n v="2"/>
    <x v="2"/>
    <n v="22"/>
    <n v="6"/>
    <n v="4"/>
    <n v="14"/>
    <x v="0"/>
    <x v="2"/>
  </r>
  <r>
    <n v="56"/>
    <x v="0"/>
    <x v="0"/>
    <n v="310"/>
    <x v="1"/>
    <n v="7"/>
    <n v="2"/>
    <s v="Technical Degree"/>
    <n v="1"/>
    <n v="2032"/>
    <n v="4"/>
    <s v="Male"/>
    <n v="72"/>
    <n v="3"/>
    <n v="1"/>
    <x v="2"/>
    <n v="3"/>
    <x v="1"/>
    <n v="2339"/>
    <n v="3666"/>
    <n v="8"/>
    <s v="Y"/>
    <x v="1"/>
    <n v="11"/>
    <n v="3"/>
    <n v="4"/>
    <n v="80"/>
    <n v="1"/>
    <n v="14"/>
    <n v="4"/>
    <x v="0"/>
    <n v="10"/>
    <n v="9"/>
    <n v="9"/>
    <n v="8"/>
    <x v="2"/>
    <x v="0"/>
  </r>
  <r>
    <n v="41"/>
    <x v="1"/>
    <x v="0"/>
    <n v="582"/>
    <x v="1"/>
    <n v="28"/>
    <n v="4"/>
    <s v="Life Sciences"/>
    <n v="1"/>
    <n v="2034"/>
    <n v="1"/>
    <s v="Female"/>
    <n v="60"/>
    <n v="2"/>
    <n v="4"/>
    <x v="3"/>
    <n v="2"/>
    <x v="1"/>
    <n v="13570"/>
    <n v="5640"/>
    <n v="0"/>
    <s v="Y"/>
    <x v="1"/>
    <n v="23"/>
    <n v="4"/>
    <n v="3"/>
    <n v="80"/>
    <n v="1"/>
    <n v="21"/>
    <n v="3"/>
    <x v="1"/>
    <n v="20"/>
    <n v="7"/>
    <n v="0"/>
    <n v="10"/>
    <x v="0"/>
    <x v="1"/>
  </r>
  <r>
    <n v="34"/>
    <x v="1"/>
    <x v="0"/>
    <n v="704"/>
    <x v="0"/>
    <n v="28"/>
    <n v="3"/>
    <s v="Marketing"/>
    <n v="1"/>
    <n v="2035"/>
    <n v="4"/>
    <s v="Female"/>
    <n v="95"/>
    <n v="2"/>
    <n v="2"/>
    <x v="0"/>
    <n v="3"/>
    <x v="1"/>
    <n v="6712"/>
    <n v="8978"/>
    <n v="1"/>
    <s v="Y"/>
    <x v="1"/>
    <n v="21"/>
    <n v="4"/>
    <n v="4"/>
    <n v="80"/>
    <n v="2"/>
    <n v="8"/>
    <n v="2"/>
    <x v="1"/>
    <n v="8"/>
    <n v="7"/>
    <n v="1"/>
    <n v="7"/>
    <x v="0"/>
    <x v="1"/>
  </r>
  <r>
    <n v="36"/>
    <x v="1"/>
    <x v="2"/>
    <n v="301"/>
    <x v="0"/>
    <n v="15"/>
    <n v="4"/>
    <s v="Marketing"/>
    <n v="1"/>
    <n v="2036"/>
    <n v="4"/>
    <s v="Male"/>
    <n v="88"/>
    <n v="1"/>
    <n v="2"/>
    <x v="0"/>
    <n v="4"/>
    <x v="2"/>
    <n v="5406"/>
    <n v="10436"/>
    <n v="1"/>
    <s v="Y"/>
    <x v="1"/>
    <n v="24"/>
    <n v="4"/>
    <n v="1"/>
    <n v="80"/>
    <n v="1"/>
    <n v="15"/>
    <n v="4"/>
    <x v="2"/>
    <n v="15"/>
    <n v="12"/>
    <n v="11"/>
    <n v="11"/>
    <x v="0"/>
    <x v="2"/>
  </r>
  <r>
    <n v="41"/>
    <x v="1"/>
    <x v="0"/>
    <n v="930"/>
    <x v="0"/>
    <n v="3"/>
    <n v="3"/>
    <s v="Life Sciences"/>
    <n v="1"/>
    <n v="2037"/>
    <n v="3"/>
    <s v="Male"/>
    <n v="57"/>
    <n v="2"/>
    <n v="2"/>
    <x v="0"/>
    <n v="2"/>
    <x v="2"/>
    <n v="8938"/>
    <n v="12227"/>
    <n v="2"/>
    <s v="Y"/>
    <x v="1"/>
    <n v="11"/>
    <n v="3"/>
    <n v="3"/>
    <n v="80"/>
    <n v="1"/>
    <n v="14"/>
    <n v="5"/>
    <x v="1"/>
    <n v="5"/>
    <n v="4"/>
    <n v="0"/>
    <n v="4"/>
    <x v="0"/>
    <x v="1"/>
  </r>
  <r>
    <n v="32"/>
    <x v="1"/>
    <x v="0"/>
    <n v="529"/>
    <x v="1"/>
    <n v="2"/>
    <n v="3"/>
    <s v="Technical Degree"/>
    <n v="1"/>
    <n v="2038"/>
    <n v="4"/>
    <s v="Male"/>
    <n v="78"/>
    <n v="3"/>
    <n v="1"/>
    <x v="1"/>
    <n v="1"/>
    <x v="0"/>
    <n v="2439"/>
    <n v="11288"/>
    <n v="1"/>
    <s v="Y"/>
    <x v="1"/>
    <n v="14"/>
    <n v="3"/>
    <n v="4"/>
    <n v="80"/>
    <n v="0"/>
    <n v="4"/>
    <n v="4"/>
    <x v="1"/>
    <n v="4"/>
    <n v="2"/>
    <n v="1"/>
    <n v="2"/>
    <x v="0"/>
    <x v="1"/>
  </r>
  <r>
    <n v="35"/>
    <x v="1"/>
    <x v="0"/>
    <n v="1146"/>
    <x v="2"/>
    <n v="26"/>
    <n v="4"/>
    <s v="Life Sciences"/>
    <n v="1"/>
    <n v="2040"/>
    <n v="3"/>
    <s v="Female"/>
    <n v="31"/>
    <n v="3"/>
    <n v="3"/>
    <x v="8"/>
    <n v="4"/>
    <x v="0"/>
    <n v="8837"/>
    <n v="16642"/>
    <n v="1"/>
    <s v="Y"/>
    <x v="0"/>
    <n v="16"/>
    <n v="3"/>
    <n v="3"/>
    <n v="80"/>
    <n v="0"/>
    <n v="9"/>
    <n v="2"/>
    <x v="1"/>
    <n v="9"/>
    <n v="0"/>
    <n v="1"/>
    <n v="7"/>
    <x v="0"/>
    <x v="1"/>
  </r>
  <r>
    <n v="38"/>
    <x v="1"/>
    <x v="0"/>
    <n v="345"/>
    <x v="0"/>
    <n v="10"/>
    <n v="2"/>
    <s v="Life Sciences"/>
    <n v="1"/>
    <n v="2041"/>
    <n v="1"/>
    <s v="Female"/>
    <n v="100"/>
    <n v="3"/>
    <n v="2"/>
    <x v="0"/>
    <n v="4"/>
    <x v="1"/>
    <n v="5343"/>
    <n v="5982"/>
    <n v="1"/>
    <s v="Y"/>
    <x v="1"/>
    <n v="11"/>
    <n v="3"/>
    <n v="3"/>
    <n v="80"/>
    <n v="1"/>
    <n v="10"/>
    <n v="1"/>
    <x v="1"/>
    <n v="10"/>
    <n v="7"/>
    <n v="1"/>
    <n v="9"/>
    <x v="0"/>
    <x v="1"/>
  </r>
  <r>
    <n v="50"/>
    <x v="0"/>
    <x v="1"/>
    <n v="878"/>
    <x v="0"/>
    <n v="1"/>
    <n v="4"/>
    <s v="Life Sciences"/>
    <n v="1"/>
    <n v="2044"/>
    <n v="2"/>
    <s v="Male"/>
    <n v="94"/>
    <n v="3"/>
    <n v="2"/>
    <x v="0"/>
    <n v="3"/>
    <x v="2"/>
    <n v="6728"/>
    <n v="14255"/>
    <n v="7"/>
    <s v="Y"/>
    <x v="1"/>
    <n v="12"/>
    <n v="3"/>
    <n v="4"/>
    <n v="80"/>
    <n v="2"/>
    <n v="12"/>
    <n v="3"/>
    <x v="1"/>
    <n v="6"/>
    <n v="3"/>
    <n v="0"/>
    <n v="1"/>
    <x v="0"/>
    <x v="1"/>
  </r>
  <r>
    <n v="36"/>
    <x v="1"/>
    <x v="0"/>
    <n v="1120"/>
    <x v="0"/>
    <n v="11"/>
    <n v="4"/>
    <s v="Marketing"/>
    <n v="1"/>
    <n v="2045"/>
    <n v="2"/>
    <s v="Female"/>
    <n v="100"/>
    <n v="2"/>
    <n v="2"/>
    <x v="0"/>
    <n v="4"/>
    <x v="1"/>
    <n v="6652"/>
    <n v="14369"/>
    <n v="4"/>
    <s v="Y"/>
    <x v="1"/>
    <n v="13"/>
    <n v="3"/>
    <n v="1"/>
    <n v="80"/>
    <n v="1"/>
    <n v="8"/>
    <n v="2"/>
    <x v="2"/>
    <n v="6"/>
    <n v="3"/>
    <n v="0"/>
    <n v="0"/>
    <x v="0"/>
    <x v="2"/>
  </r>
  <r>
    <n v="45"/>
    <x v="1"/>
    <x v="0"/>
    <n v="374"/>
    <x v="0"/>
    <n v="20"/>
    <n v="3"/>
    <s v="Life Sciences"/>
    <n v="1"/>
    <n v="2046"/>
    <n v="4"/>
    <s v="Female"/>
    <n v="50"/>
    <n v="3"/>
    <n v="2"/>
    <x v="0"/>
    <n v="3"/>
    <x v="0"/>
    <n v="4850"/>
    <n v="23333"/>
    <n v="8"/>
    <s v="Y"/>
    <x v="1"/>
    <n v="15"/>
    <n v="3"/>
    <n v="3"/>
    <n v="80"/>
    <n v="0"/>
    <n v="8"/>
    <n v="3"/>
    <x v="1"/>
    <n v="5"/>
    <n v="3"/>
    <n v="0"/>
    <n v="1"/>
    <x v="0"/>
    <x v="1"/>
  </r>
  <r>
    <n v="40"/>
    <x v="1"/>
    <x v="0"/>
    <n v="1322"/>
    <x v="1"/>
    <n v="2"/>
    <n v="4"/>
    <s v="Life Sciences"/>
    <n v="1"/>
    <n v="2048"/>
    <n v="3"/>
    <s v="Male"/>
    <n v="52"/>
    <n v="2"/>
    <n v="1"/>
    <x v="1"/>
    <n v="3"/>
    <x v="0"/>
    <n v="2809"/>
    <n v="2725"/>
    <n v="2"/>
    <s v="Y"/>
    <x v="1"/>
    <n v="14"/>
    <n v="3"/>
    <n v="4"/>
    <n v="80"/>
    <n v="0"/>
    <n v="8"/>
    <n v="2"/>
    <x v="1"/>
    <n v="2"/>
    <n v="2"/>
    <n v="2"/>
    <n v="2"/>
    <x v="0"/>
    <x v="1"/>
  </r>
  <r>
    <n v="35"/>
    <x v="1"/>
    <x v="1"/>
    <n v="1199"/>
    <x v="1"/>
    <n v="18"/>
    <n v="4"/>
    <s v="Life Sciences"/>
    <n v="1"/>
    <n v="2049"/>
    <n v="3"/>
    <s v="Male"/>
    <n v="80"/>
    <n v="3"/>
    <n v="2"/>
    <x v="4"/>
    <n v="3"/>
    <x v="1"/>
    <n v="5689"/>
    <n v="24594"/>
    <n v="1"/>
    <s v="Y"/>
    <x v="0"/>
    <n v="14"/>
    <n v="3"/>
    <n v="4"/>
    <n v="80"/>
    <n v="2"/>
    <n v="10"/>
    <n v="2"/>
    <x v="3"/>
    <n v="10"/>
    <n v="2"/>
    <n v="0"/>
    <n v="2"/>
    <x v="0"/>
    <x v="3"/>
  </r>
  <r>
    <n v="40"/>
    <x v="1"/>
    <x v="0"/>
    <n v="1194"/>
    <x v="1"/>
    <n v="2"/>
    <n v="4"/>
    <s v="Medical"/>
    <n v="1"/>
    <n v="2051"/>
    <n v="3"/>
    <s v="Female"/>
    <n v="98"/>
    <n v="3"/>
    <n v="1"/>
    <x v="1"/>
    <n v="3"/>
    <x v="1"/>
    <n v="2001"/>
    <n v="12549"/>
    <n v="2"/>
    <s v="Y"/>
    <x v="1"/>
    <n v="14"/>
    <n v="3"/>
    <n v="2"/>
    <n v="80"/>
    <n v="3"/>
    <n v="20"/>
    <n v="2"/>
    <x v="1"/>
    <n v="5"/>
    <n v="3"/>
    <n v="0"/>
    <n v="2"/>
    <x v="0"/>
    <x v="1"/>
  </r>
  <r>
    <n v="35"/>
    <x v="1"/>
    <x v="0"/>
    <n v="287"/>
    <x v="1"/>
    <n v="1"/>
    <n v="4"/>
    <s v="Life Sciences"/>
    <n v="1"/>
    <n v="2052"/>
    <n v="3"/>
    <s v="Female"/>
    <n v="62"/>
    <n v="1"/>
    <n v="1"/>
    <x v="1"/>
    <n v="4"/>
    <x v="1"/>
    <n v="2977"/>
    <n v="8952"/>
    <n v="1"/>
    <s v="Y"/>
    <x v="1"/>
    <n v="12"/>
    <n v="3"/>
    <n v="4"/>
    <n v="80"/>
    <n v="1"/>
    <n v="4"/>
    <n v="5"/>
    <x v="1"/>
    <n v="4"/>
    <n v="3"/>
    <n v="1"/>
    <n v="1"/>
    <x v="0"/>
    <x v="1"/>
  </r>
  <r>
    <n v="29"/>
    <x v="1"/>
    <x v="0"/>
    <n v="1378"/>
    <x v="1"/>
    <n v="13"/>
    <n v="2"/>
    <s v="Other"/>
    <n v="1"/>
    <n v="2053"/>
    <n v="4"/>
    <s v="Male"/>
    <n v="46"/>
    <n v="2"/>
    <n v="2"/>
    <x v="2"/>
    <n v="2"/>
    <x v="1"/>
    <n v="4025"/>
    <n v="23679"/>
    <n v="4"/>
    <s v="Y"/>
    <x v="0"/>
    <n v="13"/>
    <n v="3"/>
    <n v="1"/>
    <n v="80"/>
    <n v="1"/>
    <n v="10"/>
    <n v="2"/>
    <x v="1"/>
    <n v="4"/>
    <n v="3"/>
    <n v="0"/>
    <n v="3"/>
    <x v="1"/>
    <x v="1"/>
  </r>
  <r>
    <n v="29"/>
    <x v="1"/>
    <x v="0"/>
    <n v="468"/>
    <x v="1"/>
    <n v="28"/>
    <n v="4"/>
    <s v="Medical"/>
    <n v="1"/>
    <n v="2054"/>
    <n v="4"/>
    <s v="Female"/>
    <n v="73"/>
    <n v="2"/>
    <n v="1"/>
    <x v="1"/>
    <n v="1"/>
    <x v="0"/>
    <n v="3785"/>
    <n v="8489"/>
    <n v="1"/>
    <s v="Y"/>
    <x v="1"/>
    <n v="14"/>
    <n v="3"/>
    <n v="2"/>
    <n v="80"/>
    <n v="0"/>
    <n v="5"/>
    <n v="3"/>
    <x v="0"/>
    <n v="5"/>
    <n v="4"/>
    <n v="0"/>
    <n v="4"/>
    <x v="1"/>
    <x v="0"/>
  </r>
  <r>
    <n v="50"/>
    <x v="0"/>
    <x v="0"/>
    <n v="410"/>
    <x v="0"/>
    <n v="28"/>
    <n v="3"/>
    <s v="Marketing"/>
    <n v="1"/>
    <n v="2055"/>
    <n v="4"/>
    <s v="Male"/>
    <n v="39"/>
    <n v="2"/>
    <n v="3"/>
    <x v="0"/>
    <n v="1"/>
    <x v="2"/>
    <n v="10854"/>
    <n v="16586"/>
    <n v="4"/>
    <s v="Y"/>
    <x v="0"/>
    <n v="13"/>
    <n v="3"/>
    <n v="2"/>
    <n v="80"/>
    <n v="1"/>
    <n v="20"/>
    <n v="3"/>
    <x v="1"/>
    <n v="3"/>
    <n v="2"/>
    <n v="2"/>
    <n v="0"/>
    <x v="0"/>
    <x v="1"/>
  </r>
  <r>
    <n v="39"/>
    <x v="1"/>
    <x v="0"/>
    <n v="722"/>
    <x v="0"/>
    <n v="24"/>
    <n v="1"/>
    <s v="Marketing"/>
    <n v="1"/>
    <n v="2056"/>
    <n v="2"/>
    <s v="Female"/>
    <n v="60"/>
    <n v="2"/>
    <n v="4"/>
    <x v="0"/>
    <n v="4"/>
    <x v="1"/>
    <n v="12031"/>
    <n v="8828"/>
    <n v="0"/>
    <s v="Y"/>
    <x v="1"/>
    <n v="11"/>
    <n v="3"/>
    <n v="1"/>
    <n v="80"/>
    <n v="1"/>
    <n v="21"/>
    <n v="2"/>
    <x v="2"/>
    <n v="20"/>
    <n v="9"/>
    <n v="9"/>
    <n v="6"/>
    <x v="0"/>
    <x v="2"/>
  </r>
  <r>
    <n v="31"/>
    <x v="1"/>
    <x v="2"/>
    <n v="325"/>
    <x v="1"/>
    <n v="5"/>
    <n v="3"/>
    <s v="Medical"/>
    <n v="1"/>
    <n v="2057"/>
    <n v="2"/>
    <s v="Male"/>
    <n v="74"/>
    <n v="3"/>
    <n v="2"/>
    <x v="3"/>
    <n v="1"/>
    <x v="0"/>
    <n v="9936"/>
    <n v="3787"/>
    <n v="0"/>
    <s v="Y"/>
    <x v="1"/>
    <n v="19"/>
    <n v="3"/>
    <n v="2"/>
    <n v="80"/>
    <n v="0"/>
    <n v="10"/>
    <n v="2"/>
    <x v="1"/>
    <n v="9"/>
    <n v="4"/>
    <n v="1"/>
    <n v="7"/>
    <x v="0"/>
    <x v="1"/>
  </r>
  <r>
    <n v="26"/>
    <x v="1"/>
    <x v="0"/>
    <n v="1167"/>
    <x v="0"/>
    <n v="5"/>
    <n v="3"/>
    <s v="Other"/>
    <n v="1"/>
    <n v="2060"/>
    <n v="4"/>
    <s v="Female"/>
    <n v="30"/>
    <n v="2"/>
    <n v="1"/>
    <x v="6"/>
    <n v="3"/>
    <x v="0"/>
    <n v="2966"/>
    <n v="21378"/>
    <n v="0"/>
    <s v="Y"/>
    <x v="1"/>
    <n v="18"/>
    <n v="3"/>
    <n v="4"/>
    <n v="80"/>
    <n v="0"/>
    <n v="5"/>
    <n v="2"/>
    <x v="1"/>
    <n v="4"/>
    <n v="2"/>
    <n v="0"/>
    <n v="0"/>
    <x v="1"/>
    <x v="1"/>
  </r>
  <r>
    <n v="36"/>
    <x v="1"/>
    <x v="1"/>
    <n v="884"/>
    <x v="1"/>
    <n v="23"/>
    <n v="2"/>
    <s v="Medical"/>
    <n v="1"/>
    <n v="2061"/>
    <n v="3"/>
    <s v="Male"/>
    <n v="41"/>
    <n v="4"/>
    <n v="2"/>
    <x v="2"/>
    <n v="4"/>
    <x v="1"/>
    <n v="2571"/>
    <n v="12290"/>
    <n v="4"/>
    <s v="Y"/>
    <x v="1"/>
    <n v="17"/>
    <n v="3"/>
    <n v="3"/>
    <n v="80"/>
    <n v="1"/>
    <n v="17"/>
    <n v="3"/>
    <x v="1"/>
    <n v="5"/>
    <n v="2"/>
    <n v="0"/>
    <n v="3"/>
    <x v="0"/>
    <x v="1"/>
  </r>
  <r>
    <n v="39"/>
    <x v="1"/>
    <x v="0"/>
    <n v="613"/>
    <x v="1"/>
    <n v="6"/>
    <n v="1"/>
    <s v="Medical"/>
    <n v="1"/>
    <n v="2062"/>
    <n v="4"/>
    <s v="Male"/>
    <n v="42"/>
    <n v="2"/>
    <n v="3"/>
    <x v="4"/>
    <n v="1"/>
    <x v="1"/>
    <n v="9991"/>
    <n v="21457"/>
    <n v="4"/>
    <s v="Y"/>
    <x v="1"/>
    <n v="15"/>
    <n v="3"/>
    <n v="1"/>
    <n v="80"/>
    <n v="1"/>
    <n v="9"/>
    <n v="5"/>
    <x v="1"/>
    <n v="7"/>
    <n v="7"/>
    <n v="1"/>
    <n v="7"/>
    <x v="0"/>
    <x v="1"/>
  </r>
  <r>
    <n v="27"/>
    <x v="1"/>
    <x v="0"/>
    <n v="155"/>
    <x v="1"/>
    <n v="4"/>
    <n v="3"/>
    <s v="Life Sciences"/>
    <n v="1"/>
    <n v="2064"/>
    <n v="2"/>
    <s v="Male"/>
    <n v="87"/>
    <n v="4"/>
    <n v="2"/>
    <x v="3"/>
    <n v="2"/>
    <x v="1"/>
    <n v="6142"/>
    <n v="5174"/>
    <n v="1"/>
    <s v="Y"/>
    <x v="0"/>
    <n v="20"/>
    <n v="4"/>
    <n v="2"/>
    <n v="80"/>
    <n v="1"/>
    <n v="6"/>
    <n v="0"/>
    <x v="1"/>
    <n v="6"/>
    <n v="2"/>
    <n v="0"/>
    <n v="3"/>
    <x v="1"/>
    <x v="1"/>
  </r>
  <r>
    <n v="49"/>
    <x v="1"/>
    <x v="1"/>
    <n v="1023"/>
    <x v="0"/>
    <n v="2"/>
    <n v="3"/>
    <s v="Medical"/>
    <n v="1"/>
    <n v="2065"/>
    <n v="4"/>
    <s v="Male"/>
    <n v="63"/>
    <n v="2"/>
    <n v="2"/>
    <x v="0"/>
    <n v="2"/>
    <x v="1"/>
    <n v="5390"/>
    <n v="13243"/>
    <n v="2"/>
    <s v="Y"/>
    <x v="1"/>
    <n v="14"/>
    <n v="3"/>
    <n v="4"/>
    <n v="80"/>
    <n v="0"/>
    <n v="17"/>
    <n v="3"/>
    <x v="2"/>
    <n v="9"/>
    <n v="6"/>
    <n v="0"/>
    <n v="8"/>
    <x v="0"/>
    <x v="2"/>
  </r>
  <r>
    <n v="34"/>
    <x v="1"/>
    <x v="0"/>
    <n v="628"/>
    <x v="1"/>
    <n v="8"/>
    <n v="3"/>
    <s v="Medical"/>
    <n v="1"/>
    <n v="2068"/>
    <n v="2"/>
    <s v="Male"/>
    <n v="82"/>
    <n v="4"/>
    <n v="2"/>
    <x v="2"/>
    <n v="3"/>
    <x v="1"/>
    <n v="4404"/>
    <n v="10228"/>
    <n v="2"/>
    <s v="Y"/>
    <x v="1"/>
    <n v="12"/>
    <n v="3"/>
    <n v="1"/>
    <n v="80"/>
    <n v="0"/>
    <n v="6"/>
    <n v="3"/>
    <x v="3"/>
    <n v="4"/>
    <n v="3"/>
    <n v="1"/>
    <n v="2"/>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F33CAC-D597-4466-95E7-08F03BD39C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7">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
  </rowFields>
  <rowItems count="3">
    <i>
      <x/>
    </i>
    <i>
      <x v="1"/>
    </i>
    <i t="grand">
      <x/>
    </i>
  </rowItems>
  <colItems count="1">
    <i/>
  </colItems>
  <dataFields count="1">
    <dataField name="Count of EmployeeNumber" fld="9" subtotal="count"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E06535-5FC5-40F9-98D7-C02B0710ECF5}"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
  <location ref="K22:N33"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19B3A-23CB-4A4A-BE79-EF079E332155}"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K2:N7"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680FDF-3499-4442-AE08-F038C22AF2A1}"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2:D37" firstHeaderRow="1" firstDataRow="2" firstDataCol="1"/>
  <pivotFields count="37">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2"/>
  </rowFields>
  <rowItems count="4">
    <i>
      <x/>
    </i>
    <i>
      <x v="1"/>
    </i>
    <i>
      <x v="2"/>
    </i>
    <i t="grand">
      <x/>
    </i>
  </rowItems>
  <colFields count="1">
    <field x="1"/>
  </colFields>
  <colItems count="3">
    <i>
      <x/>
    </i>
    <i>
      <x v="1"/>
    </i>
    <i t="grand">
      <x/>
    </i>
  </colItems>
  <dataFields count="1">
    <dataField name="Count of EmployeeNumber" fld="9"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B7A47-0D1D-4B51-8C9C-29132F8233D0}"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K39:N45"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axis="axisRow" showAll="0">
      <items count="5">
        <item x="3"/>
        <item x="2"/>
        <item x="1"/>
        <item x="0"/>
        <item t="default"/>
      </items>
    </pivotField>
  </pivotFields>
  <rowFields count="1">
    <field x="36"/>
  </rowFields>
  <rowItems count="5">
    <i>
      <x/>
    </i>
    <i>
      <x v="1"/>
    </i>
    <i>
      <x v="2"/>
    </i>
    <i>
      <x v="3"/>
    </i>
    <i t="grand">
      <x/>
    </i>
  </rowItems>
  <colFields count="1">
    <field x="1"/>
  </colFields>
  <colItems count="3">
    <i>
      <x/>
    </i>
    <i>
      <x v="1"/>
    </i>
    <i t="grand">
      <x/>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CB0230-EE36-4F5E-A97B-62DFB3A12AC0}"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22:D26"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A4FD6-EEFD-4174-A260-8E34312FB817}"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41:D46" firstHeaderRow="1" firstDataRow="2" firstDataCol="1"/>
  <pivotFields count="37">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axis="axisRow" showAll="0">
      <items count="4">
        <item x="1"/>
        <item x="0"/>
        <item x="2"/>
        <item t="default"/>
      </items>
    </pivotField>
    <pivotField showAll="0">
      <items count="5">
        <item x="3"/>
        <item x="2"/>
        <item x="1"/>
        <item x="0"/>
        <item t="default"/>
      </items>
    </pivotField>
  </pivotFields>
  <rowFields count="1">
    <field x="35"/>
  </rowFields>
  <rowItems count="4">
    <i>
      <x/>
    </i>
    <i>
      <x v="1"/>
    </i>
    <i>
      <x v="2"/>
    </i>
    <i t="grand">
      <x/>
    </i>
  </rowItems>
  <colFields count="1">
    <field x="1"/>
  </colFields>
  <colItems count="3">
    <i>
      <x/>
    </i>
    <i>
      <x v="1"/>
    </i>
    <i t="grand">
      <x/>
    </i>
  </colItems>
  <dataFields count="1">
    <dataField name="Count of EmployeeNumber"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508120-FD0A-4D8C-BB42-5AE2889C2ADF}"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D6" firstHeaderRow="1" firstDataRow="2" firstDataCol="1"/>
  <pivotFields count="37">
    <pivotField showAll="0"/>
    <pivotField axis="axisCol" showAll="0">
      <items count="3">
        <item x="1"/>
        <item x="0"/>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4">
        <item x="1"/>
        <item x="0"/>
        <item x="2"/>
        <item t="default"/>
      </items>
    </pivotField>
    <pivotField showAll="0">
      <items count="5">
        <item x="3"/>
        <item x="2"/>
        <item x="1"/>
        <item x="0"/>
        <item t="default"/>
      </items>
    </pivotField>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E508E2-C72B-42A5-B13C-B38DFB5B617B}" sourceName="Department">
  <pivotTables>
    <pivotTable tabId="10" name="PivotTable2"/>
    <pivotTable tabId="5" name="PivotTable1"/>
    <pivotTable tabId="10" name="PivotTable3"/>
    <pivotTable tabId="10" name="PivotTable4"/>
    <pivotTable tabId="10" name="PivotTable5"/>
    <pivotTable tabId="10" name="PivotTable6"/>
  </pivotTables>
  <data>
    <tabular pivotCacheId="21446746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3B8B911-58B9-4879-B331-1EAB1BB39603}" sourceName="OverTime">
  <pivotTables>
    <pivotTable tabId="10" name="PivotTable4"/>
    <pivotTable tabId="5" name="PivotTable1"/>
    <pivotTable tabId="10" name="PivotTable2"/>
    <pivotTable tabId="10" name="PivotTable3"/>
    <pivotTable tabId="10" name="PivotTable5"/>
    <pivotTable tabId="10" name="PivotTable6"/>
  </pivotTables>
  <data>
    <tabular pivotCacheId="21446746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0E29094-81D2-4C5E-B4EF-474AC9E78213}" sourceName="BusinessTravel">
  <pivotTables>
    <pivotTable tabId="10" name="PivotTable5"/>
    <pivotTable tabId="5" name="PivotTable1"/>
    <pivotTable tabId="10" name="PivotTable2"/>
    <pivotTable tabId="10" name="PivotTable3"/>
    <pivotTable tabId="10" name="PivotTable4"/>
    <pivotTable tabId="10" name="PivotTable6"/>
  </pivotTables>
  <data>
    <tabular pivotCacheId="214467463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DD168A60-C396-406C-9781-15A6592695E7}" sourceName="MaritalStatus">
  <pivotTables>
    <pivotTable tabId="10" name="PivotTable6"/>
    <pivotTable tabId="5" name="PivotTable1"/>
    <pivotTable tabId="10" name="PivotTable2"/>
    <pivotTable tabId="10" name="PivotTable3"/>
    <pivotTable tabId="10" name="PivotTable4"/>
    <pivotTable tabId="10" name="PivotTable5"/>
  </pivotTables>
  <data>
    <tabular pivotCacheId="214467463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F567EA4-9413-430E-A626-A7F55BAB192B}" sourceName="JobRole">
  <pivotTables>
    <pivotTable tabId="10" name="PivotTable3"/>
    <pivotTable tabId="5" name="PivotTable1"/>
    <pivotTable tabId="10" name="PivotTable2"/>
    <pivotTable tabId="10" name="PivotTable4"/>
    <pivotTable tabId="10" name="PivotTable5"/>
    <pivotTable tabId="10" name="PivotTable6"/>
  </pivotTables>
  <data>
    <tabular pivotCacheId="2144674632">
      <items count="9">
        <i x="4" s="1"/>
        <i x="8" s="1"/>
        <i x="2" s="1"/>
        <i x="5" s="1"/>
        <i x="3" s="1"/>
        <i x="7" s="1"/>
        <i x="1" s="1"/>
        <i x="0"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551CC875-E8B6-4319-B510-6B70F2C8B58D}" sourceName="AgeGroup">
  <pivotTables>
    <pivotTable tabId="10" name="PivotTable1"/>
    <pivotTable tabId="5" name="PivotTable1"/>
    <pivotTable tabId="10" name="PivotTable2"/>
    <pivotTable tabId="10" name="PivotTable3"/>
    <pivotTable tabId="10" name="PivotTable4"/>
    <pivotTable tabId="10" name="PivotTable5"/>
    <pivotTable tabId="10" name="PivotTable6"/>
  </pivotTables>
  <data>
    <tabular pivotCacheId="2144674632">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krLifeBalanceGroup" xr10:uid="{DAE11ACF-07C0-489F-8FE2-E1CF38AA1EE7}" sourceName="WokrLifeBalanceGroup">
  <pivotTables>
    <pivotTable tabId="10" name="PivotTable7"/>
    <pivotTable tabId="5" name="PivotTable1"/>
    <pivotTable tabId="10" name="PivotTable1"/>
    <pivotTable tabId="10" name="PivotTable2"/>
    <pivotTable tabId="10" name="PivotTable3"/>
    <pivotTable tabId="10" name="PivotTable4"/>
    <pivotTable tabId="10" name="PivotTable5"/>
    <pivotTable tabId="10" name="PivotTable6"/>
  </pivotTables>
  <data>
    <tabular pivotCacheId="2144674632">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AD45694-6D5D-4A54-A95C-46D80B090DDC}" cache="Slicer_Department" caption="Department" rowHeight="247650"/>
  <slicer name="OverTime" xr10:uid="{DA73B3EC-D8AF-4172-B31C-B878B585364D}" cache="Slicer_OverTime" caption="OverTime" rowHeight="247650"/>
  <slicer name="BusinessTravel" xr10:uid="{56D8EF1C-F84B-4750-884F-116283B20A6A}" cache="Slicer_BusinessTravel" caption="BusinessTravel" rowHeight="247650"/>
  <slicer name="MaritalStatus" xr10:uid="{E11A16C9-BFBF-4154-B314-6DA51026E062}" cache="Slicer_MaritalStatus" caption="MaritalStatus" rowHeight="247650"/>
  <slicer name="JobRole" xr10:uid="{BD47BF42-0A21-4715-86FE-4BD914F7F866}" cache="Slicer_JobRole" caption="JobRole" rowHeight="247650"/>
  <slicer name="AgeGroup" xr10:uid="{C799F44D-4200-4EE2-8BD0-331CBBD530FF}" cache="Slicer_AgeGroup" caption="AgeGroup" rowHeight="247650"/>
  <slicer name="WokrLifeBalanceGroup" xr10:uid="{67353CB3-E010-449D-9BBB-4F472DC73CC5}" cache="Slicer_WokrLifeBalanceGroup" caption="WokrLifeBalance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C8BD6E2-CCCF-4E2C-AA05-F87E34867094}" cache="Slicer_Department" caption="Department" rowHeight="247650"/>
  <slicer name="OverTime 1" xr10:uid="{8ABDBC97-A7AA-4DC3-BA3D-3733A66928FD}" cache="Slicer_OverTime" caption="OverTime" rowHeight="247650"/>
  <slicer name="BusinessTravel 1" xr10:uid="{667431BB-1650-44BB-ABEE-D3435492896D}" cache="Slicer_BusinessTravel" caption="Business Travel" rowHeight="247650"/>
  <slicer name="MaritalStatus 1" xr10:uid="{4B84A658-A4BA-4B16-BA0A-EFCA034CF20C}" cache="Slicer_MaritalStatus" caption="Marital Status" rowHeight="247650"/>
  <slicer name="JobRole 1" xr10:uid="{AD52FD97-8DA1-400D-A0D8-5E572F157667}" cache="Slicer_JobRole" caption="Job Role" startItem="6" rowHeight="247650"/>
  <slicer name="AgeGroup 1" xr10:uid="{BF522945-3062-4CD8-8FC7-BAC7F8303B17}" cache="Slicer_AgeGroup" caption="Age Group" rowHeight="247650"/>
  <slicer name="WokrLifeBalanceGroup 1" xr10:uid="{3E0166A3-A34A-4DB0-9E51-47A9F948D809}" cache="Slicer_WokrLifeBalanceGroup" caption="Work Life Balance Group"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8CE985-A45E-4F22-81DA-AD32C1CD15E5}" name="Table2" displayName="Table2" ref="H11:I13" headerRowCount="0" totalsRowShown="0">
  <tableColumns count="2">
    <tableColumn id="1" xr3:uid="{E2F1BF8A-6866-42EE-BD06-225D1CFA0E74}" name="Column1" headerRowDxfId="32" dataDxfId="31"/>
    <tableColumn id="2" xr3:uid="{A187C651-4058-44DD-89C0-3877568306B2}" name="Column2" headerRowDxfId="30" dataDxfId="29" headerRowCellStyle="Per cent" dataCellStyle="Per 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127664-38A0-4D0F-BECC-3BDCC9E57DF9}" name="Table3" displayName="Table3" ref="F3:G12" totalsRowShown="0" headerRowDxfId="28">
  <autoFilter ref="F3:G12" xr:uid="{32127664-38A0-4D0F-BECC-3BDCC9E57DF9}"/>
  <sortState xmlns:xlrd2="http://schemas.microsoft.com/office/spreadsheetml/2017/richdata2" ref="F4:G12">
    <sortCondition descending="1" ref="G5:G12"/>
  </sortState>
  <tableColumns count="2">
    <tableColumn id="1" xr3:uid="{8BBB3976-373A-4F59-9A4C-66A92F6F000B}" name="Job Role" dataDxfId="27"/>
    <tableColumn id="2" xr3:uid="{FB39B7E9-BE6E-42D3-8687-485B47D9534C}" name="Attrition Rate" dataDxfId="26" dataCellStyle="Per 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408B26-E780-4205-A543-BA4FDD3E6753}" name="Table4" displayName="Table4" ref="G5:H6" headerRowCount="0" totalsRowShown="0">
  <tableColumns count="2">
    <tableColumn id="1" xr3:uid="{0B591A57-031B-4DCD-B794-CFF47CAED429}" name="Column1" headerRowDxfId="25" dataDxfId="24"/>
    <tableColumn id="2" xr3:uid="{530DFF56-5133-4A16-84A9-3B132AD9A40B}" name="Column2" headerRowDxfId="23" dataDxfId="22" headerRowCellStyle="Per cent" dataCellStyle="Per cent">
      <calculatedColumnFormula>110/1054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8E4415-25AA-43CF-B993-B414DBFD79DA}" name="Table5" displayName="Table5" ref="A3:B5" headerRowCount="0" totalsRowShown="0">
  <sortState xmlns:xlrd2="http://schemas.microsoft.com/office/spreadsheetml/2017/richdata2" ref="A3:B5">
    <sortCondition descending="1" ref="B3:B5"/>
  </sortState>
  <tableColumns count="2">
    <tableColumn id="1" xr3:uid="{1CF33FD4-B55B-4DD8-873D-498A4E80FF5B}" name="Column1" headerRowDxfId="21" dataDxfId="20"/>
    <tableColumn id="2" xr3:uid="{5EEBA1C7-E52E-4F30-80B5-E22D1201E0DD}" name="Column2" headerRowDxfId="19" dataDxfId="18" headerRowCellStyle="Per cent" dataCellStyle="Per 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5F6C1E-6F35-494F-9674-AE889037A01C}" name="Table6" displayName="Table6" ref="A1:B3" headerRowCount="0" totalsRowShown="0">
  <tableColumns count="2">
    <tableColumn id="1" xr3:uid="{BB552ACA-8963-4B77-A170-C1AD8D75A89E}" name="Column1" headerRowDxfId="17" dataDxfId="16"/>
    <tableColumn id="2" xr3:uid="{0417CB42-E6B0-4C13-83A6-4E0BEB59DCD9}" name="Column2" headerRowDxfId="15" dataDxfId="14" headerRowCellStyle="Per cent" dataCellStyle="Per 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DE8961-CF30-48CA-B618-6CD433E88E58}" name="Table8" displayName="Table8" ref="F3:G6" totalsRowShown="0" headerRowDxfId="13">
  <autoFilter ref="F3:G6" xr:uid="{DDDE8961-CF30-48CA-B618-6CD433E88E58}">
    <filterColumn colId="0" hiddenButton="1"/>
    <filterColumn colId="1" hiddenButton="1"/>
  </autoFilter>
  <tableColumns count="2">
    <tableColumn id="1" xr3:uid="{E88490F2-4890-408F-95CB-C8DB64311344}" name="Age Group" dataDxfId="12"/>
    <tableColumn id="2" xr3:uid="{8C14DE1B-2B27-4A03-B3DF-5A551BAD3731}" name="Attrition Rate"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2EB754-81E9-4524-99CB-511FCBC41798}" name="Table10" displayName="Table10" ref="G4:H8" totalsRowShown="0">
  <autoFilter ref="G4:H8" xr:uid="{B62EB754-81E9-4524-99CB-511FCBC41798}">
    <filterColumn colId="0" hiddenButton="1"/>
    <filterColumn colId="1" hiddenButton="1"/>
  </autoFilter>
  <tableColumns count="2">
    <tableColumn id="1" xr3:uid="{AC63D3DE-F3EE-4226-936A-563B83B7F6CC}" name="Work Life Balance" dataDxfId="10"/>
    <tableColumn id="2" xr3:uid="{EA92EA43-10FB-44BC-A54C-124DB6A7E582}" name="Attrition Rate" dataDxfId="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32DBA-B45A-4870-921D-D505DE6BFC22}" name="Table1" displayName="Table1" ref="A1:AK1471" totalsRowShown="0" headerRowDxfId="8">
  <autoFilter ref="A1:AK1471" xr:uid="{B2332DBA-B45A-4870-921D-D505DE6BFC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tableColumns count="37">
    <tableColumn id="1" xr3:uid="{A6D03253-D7BA-40B3-86D5-DDF71BEDAEF8}" name="Column1"/>
    <tableColumn id="2" xr3:uid="{DEA990DE-4E6B-4604-863F-8F23C2D014B5}" name="Attrition"/>
    <tableColumn id="3" xr3:uid="{E5BAABB5-0199-4010-89BD-D46906025A33}" name="BusinessTravel"/>
    <tableColumn id="4" xr3:uid="{3745C8F3-9CF3-41C4-AFF3-7BF85E459758}" name="DailyRate"/>
    <tableColumn id="5" xr3:uid="{9A2B8C8E-1151-45B4-B13D-8F11143B10BC}" name="Department"/>
    <tableColumn id="6" xr3:uid="{B3C89B67-5EEE-4B08-B3C1-14ECF54665CD}" name="DistanceFromHome"/>
    <tableColumn id="7" xr3:uid="{8023F106-27CD-4D34-9D22-2F5024BF2D8E}" name="Education"/>
    <tableColumn id="8" xr3:uid="{71E0FA07-BE68-40B6-BC94-8F95466FD451}" name="EducationField"/>
    <tableColumn id="9" xr3:uid="{BD7BB3CF-28BB-4D37-B4E1-179F3770183E}" name="EmployeeCount"/>
    <tableColumn id="10" xr3:uid="{54164231-98E6-4F00-9B8F-025730F49ADB}" name="EmployeeNumber"/>
    <tableColumn id="11" xr3:uid="{7DEB6812-9B99-4E59-9F38-4D24375E105A}" name="EnvironmentSatisfaction"/>
    <tableColumn id="12" xr3:uid="{95C1061B-AE33-4AFC-8C05-9339DFCB1FC8}" name="Gender"/>
    <tableColumn id="13" xr3:uid="{7333619A-6E6C-439C-9730-DAE682B42934}" name="HourlyRate"/>
    <tableColumn id="14" xr3:uid="{265F7D24-7E5F-43CB-B345-CDFEA5EDE440}" name="JobInvolvement"/>
    <tableColumn id="15" xr3:uid="{FEC3DA09-9EE7-4C23-9589-CDA100EA6BAE}" name="JobLevel"/>
    <tableColumn id="16" xr3:uid="{68C0D9BF-AF9A-4A86-B7B9-B0040335BC33}" name="JobRole"/>
    <tableColumn id="17" xr3:uid="{23750980-50EB-444C-A6B7-4AED05FB6CB0}" name="JobSatisfaction"/>
    <tableColumn id="18" xr3:uid="{80BE2C18-76AC-4387-B68F-926044DBEBFD}" name="MaritalStatus"/>
    <tableColumn id="19" xr3:uid="{BD299E62-0FEF-4FD9-BAE2-BC18DD10BF9B}" name="MonthlyIncome"/>
    <tableColumn id="20" xr3:uid="{88B9484A-0A61-4B83-8CDB-3665515CDDD0}" name="MonthlyRate"/>
    <tableColumn id="21" xr3:uid="{5521C329-1EF0-44D0-9AD4-DCD96AF2EA77}" name="NumCompaniesWorked"/>
    <tableColumn id="22" xr3:uid="{ADE2D5DD-5DA1-4270-A4D8-7E438950BF83}" name="Over18"/>
    <tableColumn id="23" xr3:uid="{DF27E19A-7220-4871-859B-55F6FB5FC35E}" name="OverTime"/>
    <tableColumn id="24" xr3:uid="{35580771-C158-4B8B-969B-B2C93B13C5EE}" name="PercentSalaryHike"/>
    <tableColumn id="25" xr3:uid="{10A3DF9C-FDEE-4AAD-AFB7-706A573E1C8B}" name="PerformanceRating"/>
    <tableColumn id="26" xr3:uid="{BFE1051F-1E17-4BB8-8158-73516FD0A38F}" name="RelationshipSatisfaction"/>
    <tableColumn id="27" xr3:uid="{F25E4EE5-9957-4374-8908-07E03870722A}" name="StandardHours"/>
    <tableColumn id="28" xr3:uid="{2EECC28C-B22B-4E2F-A253-BD0ACE003FAF}" name="StockOptionLevel"/>
    <tableColumn id="29" xr3:uid="{48EEC523-F5C0-4A53-8318-488F861BA95F}" name="TotalWorkingYears"/>
    <tableColumn id="30" xr3:uid="{D110DB02-F6DC-48AA-92C8-08B37E79BD52}" name="TrainingTimesLastYear"/>
    <tableColumn id="31" xr3:uid="{5C949B74-630C-45F1-BC86-BD0E6E4502AC}" name="WorkLifeBalance"/>
    <tableColumn id="32" xr3:uid="{457FCABF-80CA-4829-9163-6264D7ADF4F3}" name="YearsAtCompany"/>
    <tableColumn id="33" xr3:uid="{3723A07E-5D48-4FFE-9724-441C70EE2A91}" name="YearsInCurrentRole"/>
    <tableColumn id="34" xr3:uid="{74E952ED-E5A1-48CD-A6DA-0DFAEB27F366}" name="YearsSinceLastPromotion"/>
    <tableColumn id="35" xr3:uid="{343708A8-8558-41CF-A744-F6BB0345A494}" name="YearsWithCurrManager"/>
    <tableColumn id="36" xr3:uid="{3BFF8D12-C70C-4735-8DB9-C792B7A05CC1}" name="AgeGroup" dataDxfId="7">
      <calculatedColumnFormula>IF(Table1[[#This Row],[Column1]]&lt;=30,"18-30",IF(Table1[[#This Row],[Column1]]&lt;=50,"31-50","51+"))</calculatedColumnFormula>
    </tableColumn>
    <tableColumn id="37" xr3:uid="{2D53C9EE-89E7-4B97-A44F-A7A8D493ADEB}" name="WokrLifeBalanceGroup" dataDxfId="6">
      <calculatedColumnFormula>IF(Table1[[#This Row],[WorkLifeBalance]]=1,"Poor",IF(Table1[[#This Row],[WorkLifeBalance]]=2,"Fair",IF(Table1[[#This Row],[WorkLifeBalance]]=3,"Good","Excellent")))</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648AC7-11E7-4C6C-ABE6-8BD349434898}" name="Table7" displayName="Table7" ref="A2:C8" headerRowCount="0" totalsRowShown="0" dataDxfId="5">
  <tableColumns count="3">
    <tableColumn id="1" xr3:uid="{B6D45582-259B-47C7-96E3-E17028C96050}" name="SQL Documentation" headerRowDxfId="4" dataDxfId="3"/>
    <tableColumn id="2" xr3:uid="{AFE8FBD6-8FA3-446B-AC57-6EBECAD5C79E}" name="Column1" headerRowDxfId="2" dataDxfId="1"/>
    <tableColumn id="3" xr3:uid="{559FCB00-42D9-40B0-8ACD-EAC7582FF793}" name="Column2"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6BC5-E149-458F-A49F-8E3860A8D5B2}">
  <dimension ref="A3:E6"/>
  <sheetViews>
    <sheetView workbookViewId="0">
      <selection activeCell="E4" sqref="E4"/>
    </sheetView>
  </sheetViews>
  <sheetFormatPr defaultRowHeight="14.4" x14ac:dyDescent="0.3"/>
  <cols>
    <col min="1" max="1" width="12.44140625" bestFit="1" customWidth="1"/>
    <col min="2" max="2" width="23.44140625" bestFit="1" customWidth="1"/>
  </cols>
  <sheetData>
    <row r="3" spans="1:5" x14ac:dyDescent="0.3">
      <c r="A3" s="5" t="s">
        <v>66</v>
      </c>
      <c r="B3" t="s">
        <v>68</v>
      </c>
    </row>
    <row r="4" spans="1:5" x14ac:dyDescent="0.3">
      <c r="A4" s="6" t="s">
        <v>42</v>
      </c>
      <c r="B4" s="7">
        <v>1233</v>
      </c>
      <c r="E4" s="8">
        <f>237/1470</f>
        <v>0.16122448979591836</v>
      </c>
    </row>
    <row r="5" spans="1:5" x14ac:dyDescent="0.3">
      <c r="A5" s="6" t="s">
        <v>34</v>
      </c>
      <c r="B5" s="7">
        <v>237</v>
      </c>
    </row>
    <row r="6" spans="1:5" x14ac:dyDescent="0.3">
      <c r="A6" s="6" t="s">
        <v>67</v>
      </c>
      <c r="B6" s="7">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F08B-E0BB-48B0-92AD-EDB20FF68BBF}">
  <dimension ref="H3:P13"/>
  <sheetViews>
    <sheetView workbookViewId="0">
      <selection activeCell="K15" sqref="K15"/>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8" max="8" width="22" bestFit="1" customWidth="1"/>
    <col min="14" max="14" width="22" bestFit="1" customWidth="1"/>
    <col min="15" max="15" width="10.33203125" customWidth="1"/>
  </cols>
  <sheetData>
    <row r="3" spans="8:16" ht="18" x14ac:dyDescent="0.35">
      <c r="P3" s="9"/>
    </row>
    <row r="11" spans="8:16" x14ac:dyDescent="0.3">
      <c r="H11" s="1" t="s">
        <v>60</v>
      </c>
      <c r="I11" s="8">
        <f>12/63</f>
        <v>0.19047619047619047</v>
      </c>
    </row>
    <row r="12" spans="8:16" x14ac:dyDescent="0.3">
      <c r="H12" s="1" t="s">
        <v>44</v>
      </c>
      <c r="I12" s="8">
        <f>133/961</f>
        <v>0.13839750260145681</v>
      </c>
    </row>
    <row r="13" spans="8:16" x14ac:dyDescent="0.3">
      <c r="H13" s="1" t="s">
        <v>36</v>
      </c>
      <c r="I13" s="8">
        <f>92/446</f>
        <v>0.20627802690582961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C27A-7F1C-45DA-AD01-205646A4DFEF}">
  <dimension ref="B1:G12"/>
  <sheetViews>
    <sheetView workbookViewId="0">
      <selection activeCell="F18" sqref="F18"/>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6" max="6" width="27.44140625" bestFit="1" customWidth="1"/>
    <col min="7" max="7" width="20" customWidth="1"/>
  </cols>
  <sheetData>
    <row r="1" spans="2:7" x14ac:dyDescent="0.3">
      <c r="B1" s="10"/>
    </row>
    <row r="2" spans="2:7" ht="18" x14ac:dyDescent="0.35">
      <c r="F2" s="2" t="s">
        <v>69</v>
      </c>
    </row>
    <row r="3" spans="2:7" x14ac:dyDescent="0.3">
      <c r="F3" s="1" t="s">
        <v>70</v>
      </c>
      <c r="G3" s="1" t="s">
        <v>62</v>
      </c>
    </row>
    <row r="4" spans="2:7" x14ac:dyDescent="0.3">
      <c r="F4" s="1" t="s">
        <v>56</v>
      </c>
      <c r="G4" s="11">
        <f>33/83</f>
        <v>0.39759036144578314</v>
      </c>
    </row>
    <row r="5" spans="2:7" x14ac:dyDescent="0.3">
      <c r="F5" s="1" t="s">
        <v>49</v>
      </c>
      <c r="G5" s="8">
        <f>62/259</f>
        <v>0.23938223938223938</v>
      </c>
    </row>
    <row r="6" spans="2:7" x14ac:dyDescent="0.3">
      <c r="F6" s="1" t="s">
        <v>60</v>
      </c>
      <c r="G6" s="8">
        <f>12/52</f>
        <v>0.23076923076923078</v>
      </c>
    </row>
    <row r="7" spans="2:7" x14ac:dyDescent="0.3">
      <c r="F7" s="1" t="s">
        <v>39</v>
      </c>
      <c r="G7" s="8">
        <f>57/326</f>
        <v>0.17484662576687116</v>
      </c>
    </row>
    <row r="8" spans="2:7" x14ac:dyDescent="0.3">
      <c r="F8" s="1" t="s">
        <v>46</v>
      </c>
      <c r="G8" s="8">
        <f>47/292</f>
        <v>0.16095890410958905</v>
      </c>
    </row>
    <row r="9" spans="2:7" x14ac:dyDescent="0.3">
      <c r="F9" s="1" t="s">
        <v>52</v>
      </c>
      <c r="G9" s="8">
        <f>10/145</f>
        <v>6.8965517241379309E-2</v>
      </c>
    </row>
    <row r="10" spans="2:7" x14ac:dyDescent="0.3">
      <c r="F10" s="1" t="s">
        <v>53</v>
      </c>
      <c r="G10" s="8">
        <f>9/131</f>
        <v>6.8702290076335881E-2</v>
      </c>
    </row>
    <row r="11" spans="2:7" x14ac:dyDescent="0.3">
      <c r="F11" s="1" t="s">
        <v>55</v>
      </c>
      <c r="G11" s="8">
        <f>5/102</f>
        <v>4.9019607843137254E-2</v>
      </c>
    </row>
    <row r="12" spans="2:7" x14ac:dyDescent="0.3">
      <c r="F12" s="1" t="s">
        <v>57</v>
      </c>
      <c r="G12" s="8">
        <f>2/80</f>
        <v>2.5000000000000001E-2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C4CC-2033-4BBF-A7AC-D49E6E8D4939}">
  <dimension ref="A1:N46"/>
  <sheetViews>
    <sheetView topLeftCell="A19" workbookViewId="0">
      <selection activeCell="K41" sqref="K41"/>
    </sheetView>
  </sheetViews>
  <sheetFormatPr defaultRowHeight="14.4" x14ac:dyDescent="0.3"/>
  <cols>
    <col min="1" max="1" width="23.44140625" bestFit="1" customWidth="1"/>
    <col min="2" max="2" width="5" bestFit="1" customWidth="1"/>
    <col min="3" max="3" width="4" bestFit="1" customWidth="1"/>
    <col min="4" max="4" width="10.5546875" bestFit="1" customWidth="1"/>
    <col min="6" max="6" width="23.44140625" bestFit="1" customWidth="1"/>
    <col min="7" max="7" width="5" bestFit="1" customWidth="1"/>
    <col min="8" max="8" width="4" bestFit="1" customWidth="1"/>
    <col min="9" max="9" width="10.5546875" bestFit="1" customWidth="1"/>
    <col min="11" max="11" width="23.44140625" bestFit="1" customWidth="1"/>
    <col min="12" max="12" width="5" bestFit="1" customWidth="1"/>
    <col min="13" max="13" width="4" bestFit="1" customWidth="1"/>
    <col min="14" max="14" width="10.5546875" bestFit="1" customWidth="1"/>
  </cols>
  <sheetData>
    <row r="1" spans="1:14" x14ac:dyDescent="0.3">
      <c r="A1" s="5" t="s">
        <v>68</v>
      </c>
    </row>
    <row r="2" spans="1:14" x14ac:dyDescent="0.3">
      <c r="B2" t="s">
        <v>42</v>
      </c>
      <c r="C2" t="s">
        <v>34</v>
      </c>
      <c r="D2" t="s">
        <v>67</v>
      </c>
      <c r="K2" s="5" t="s">
        <v>68</v>
      </c>
    </row>
    <row r="3" spans="1:14" x14ac:dyDescent="0.3">
      <c r="A3" s="6" t="s">
        <v>60</v>
      </c>
      <c r="B3" s="7">
        <v>51</v>
      </c>
      <c r="C3" s="7">
        <v>12</v>
      </c>
      <c r="D3" s="7">
        <v>63</v>
      </c>
      <c r="L3" t="s">
        <v>42</v>
      </c>
      <c r="M3" t="s">
        <v>34</v>
      </c>
      <c r="N3" t="s">
        <v>67</v>
      </c>
    </row>
    <row r="4" spans="1:14" x14ac:dyDescent="0.3">
      <c r="A4" s="6" t="s">
        <v>44</v>
      </c>
      <c r="B4" s="7">
        <v>828</v>
      </c>
      <c r="C4" s="7">
        <v>133</v>
      </c>
      <c r="D4" s="7">
        <v>961</v>
      </c>
      <c r="K4" s="6" t="s">
        <v>51</v>
      </c>
      <c r="L4" s="7">
        <v>294</v>
      </c>
      <c r="M4" s="7">
        <v>33</v>
      </c>
      <c r="N4" s="7">
        <v>327</v>
      </c>
    </row>
    <row r="5" spans="1:14" x14ac:dyDescent="0.3">
      <c r="A5" s="6" t="s">
        <v>36</v>
      </c>
      <c r="B5" s="7">
        <v>354</v>
      </c>
      <c r="C5" s="7">
        <v>92</v>
      </c>
      <c r="D5" s="7">
        <v>446</v>
      </c>
      <c r="K5" s="6" t="s">
        <v>47</v>
      </c>
      <c r="L5" s="7">
        <v>589</v>
      </c>
      <c r="M5" s="7">
        <v>84</v>
      </c>
      <c r="N5" s="7">
        <v>673</v>
      </c>
    </row>
    <row r="6" spans="1:14" x14ac:dyDescent="0.3">
      <c r="A6" s="6" t="s">
        <v>67</v>
      </c>
      <c r="B6" s="7">
        <v>1233</v>
      </c>
      <c r="C6" s="7">
        <v>237</v>
      </c>
      <c r="D6" s="7">
        <v>1470</v>
      </c>
      <c r="K6" s="6" t="s">
        <v>40</v>
      </c>
      <c r="L6" s="7">
        <v>350</v>
      </c>
      <c r="M6" s="7">
        <v>120</v>
      </c>
      <c r="N6" s="7">
        <v>470</v>
      </c>
    </row>
    <row r="7" spans="1:14" x14ac:dyDescent="0.3">
      <c r="K7" s="6" t="s">
        <v>67</v>
      </c>
      <c r="L7" s="7">
        <v>1233</v>
      </c>
      <c r="M7" s="7">
        <v>237</v>
      </c>
      <c r="N7" s="7">
        <v>1470</v>
      </c>
    </row>
    <row r="22" spans="1:14" x14ac:dyDescent="0.3">
      <c r="A22" s="5" t="s">
        <v>68</v>
      </c>
      <c r="K22" s="5" t="s">
        <v>68</v>
      </c>
    </row>
    <row r="23" spans="1:14" x14ac:dyDescent="0.3">
      <c r="B23" t="s">
        <v>42</v>
      </c>
      <c r="C23" t="s">
        <v>34</v>
      </c>
      <c r="D23" t="s">
        <v>67</v>
      </c>
      <c r="L23" t="s">
        <v>42</v>
      </c>
      <c r="M23" t="s">
        <v>34</v>
      </c>
      <c r="N23" t="s">
        <v>67</v>
      </c>
    </row>
    <row r="24" spans="1:14" x14ac:dyDescent="0.3">
      <c r="A24" s="6" t="s">
        <v>42</v>
      </c>
      <c r="B24" s="7">
        <v>944</v>
      </c>
      <c r="C24" s="7">
        <v>110</v>
      </c>
      <c r="D24" s="7">
        <v>1054</v>
      </c>
      <c r="K24" s="6" t="s">
        <v>53</v>
      </c>
      <c r="L24" s="7">
        <v>122</v>
      </c>
      <c r="M24" s="7">
        <v>9</v>
      </c>
      <c r="N24" s="7">
        <v>131</v>
      </c>
    </row>
    <row r="25" spans="1:14" x14ac:dyDescent="0.3">
      <c r="A25" s="6" t="s">
        <v>34</v>
      </c>
      <c r="B25" s="7">
        <v>289</v>
      </c>
      <c r="C25" s="7">
        <v>127</v>
      </c>
      <c r="D25" s="7">
        <v>416</v>
      </c>
      <c r="K25" s="6" t="s">
        <v>60</v>
      </c>
      <c r="L25" s="7">
        <v>40</v>
      </c>
      <c r="M25" s="7">
        <v>12</v>
      </c>
      <c r="N25" s="7">
        <v>52</v>
      </c>
    </row>
    <row r="26" spans="1:14" x14ac:dyDescent="0.3">
      <c r="A26" s="6" t="s">
        <v>67</v>
      </c>
      <c r="B26" s="7">
        <v>1233</v>
      </c>
      <c r="C26" s="7">
        <v>237</v>
      </c>
      <c r="D26" s="7">
        <v>1470</v>
      </c>
      <c r="K26" s="6" t="s">
        <v>49</v>
      </c>
      <c r="L26" s="7">
        <v>197</v>
      </c>
      <c r="M26" s="7">
        <v>62</v>
      </c>
      <c r="N26" s="7">
        <v>259</v>
      </c>
    </row>
    <row r="27" spans="1:14" x14ac:dyDescent="0.3">
      <c r="K27" s="6" t="s">
        <v>55</v>
      </c>
      <c r="L27" s="7">
        <v>97</v>
      </c>
      <c r="M27" s="7">
        <v>5</v>
      </c>
      <c r="N27" s="7">
        <v>102</v>
      </c>
    </row>
    <row r="28" spans="1:14" x14ac:dyDescent="0.3">
      <c r="K28" s="6" t="s">
        <v>52</v>
      </c>
      <c r="L28" s="7">
        <v>135</v>
      </c>
      <c r="M28" s="7">
        <v>10</v>
      </c>
      <c r="N28" s="7">
        <v>145</v>
      </c>
    </row>
    <row r="29" spans="1:14" x14ac:dyDescent="0.3">
      <c r="K29" s="6" t="s">
        <v>57</v>
      </c>
      <c r="L29" s="7">
        <v>78</v>
      </c>
      <c r="M29" s="7">
        <v>2</v>
      </c>
      <c r="N29" s="7">
        <v>80</v>
      </c>
    </row>
    <row r="30" spans="1:14" x14ac:dyDescent="0.3">
      <c r="K30" s="6" t="s">
        <v>46</v>
      </c>
      <c r="L30" s="7">
        <v>245</v>
      </c>
      <c r="M30" s="7">
        <v>47</v>
      </c>
      <c r="N30" s="7">
        <v>292</v>
      </c>
    </row>
    <row r="31" spans="1:14" x14ac:dyDescent="0.3">
      <c r="K31" s="6" t="s">
        <v>39</v>
      </c>
      <c r="L31" s="7">
        <v>269</v>
      </c>
      <c r="M31" s="7">
        <v>57</v>
      </c>
      <c r="N31" s="7">
        <v>326</v>
      </c>
    </row>
    <row r="32" spans="1:14" x14ac:dyDescent="0.3">
      <c r="A32" s="5" t="s">
        <v>68</v>
      </c>
      <c r="K32" s="6" t="s">
        <v>56</v>
      </c>
      <c r="L32" s="7">
        <v>50</v>
      </c>
      <c r="M32" s="7">
        <v>33</v>
      </c>
      <c r="N32" s="7">
        <v>83</v>
      </c>
    </row>
    <row r="33" spans="1:14" x14ac:dyDescent="0.3">
      <c r="B33" t="s">
        <v>42</v>
      </c>
      <c r="C33" t="s">
        <v>34</v>
      </c>
      <c r="D33" t="s">
        <v>67</v>
      </c>
      <c r="K33" s="6" t="s">
        <v>67</v>
      </c>
      <c r="L33" s="7">
        <v>1233</v>
      </c>
      <c r="M33" s="7">
        <v>237</v>
      </c>
      <c r="N33" s="7">
        <v>1470</v>
      </c>
    </row>
    <row r="34" spans="1:14" x14ac:dyDescent="0.3">
      <c r="A34" s="6" t="s">
        <v>54</v>
      </c>
      <c r="B34" s="7">
        <v>138</v>
      </c>
      <c r="C34" s="7">
        <v>12</v>
      </c>
      <c r="D34" s="7">
        <v>150</v>
      </c>
    </row>
    <row r="35" spans="1:14" x14ac:dyDescent="0.3">
      <c r="A35" s="6" t="s">
        <v>43</v>
      </c>
      <c r="B35" s="7">
        <v>208</v>
      </c>
      <c r="C35" s="7">
        <v>69</v>
      </c>
      <c r="D35" s="7">
        <v>277</v>
      </c>
    </row>
    <row r="36" spans="1:14" x14ac:dyDescent="0.3">
      <c r="A36" s="6" t="s">
        <v>35</v>
      </c>
      <c r="B36" s="7">
        <v>887</v>
      </c>
      <c r="C36" s="7">
        <v>156</v>
      </c>
      <c r="D36" s="7">
        <v>1043</v>
      </c>
    </row>
    <row r="37" spans="1:14" x14ac:dyDescent="0.3">
      <c r="A37" s="6" t="s">
        <v>67</v>
      </c>
      <c r="B37" s="7">
        <v>1233</v>
      </c>
      <c r="C37" s="7">
        <v>237</v>
      </c>
      <c r="D37" s="7">
        <v>1470</v>
      </c>
    </row>
    <row r="39" spans="1:14" x14ac:dyDescent="0.3">
      <c r="K39" s="5" t="s">
        <v>68</v>
      </c>
    </row>
    <row r="40" spans="1:14" x14ac:dyDescent="0.3">
      <c r="L40" t="s">
        <v>42</v>
      </c>
      <c r="M40" t="s">
        <v>34</v>
      </c>
      <c r="N40" t="s">
        <v>67</v>
      </c>
    </row>
    <row r="41" spans="1:14" x14ac:dyDescent="0.3">
      <c r="A41" s="5" t="s">
        <v>68</v>
      </c>
      <c r="K41" s="6" t="s">
        <v>85</v>
      </c>
      <c r="L41" s="7">
        <v>126</v>
      </c>
      <c r="M41" s="7">
        <v>27</v>
      </c>
      <c r="N41" s="7">
        <v>153</v>
      </c>
    </row>
    <row r="42" spans="1:14" x14ac:dyDescent="0.3">
      <c r="B42" t="s">
        <v>42</v>
      </c>
      <c r="C42" t="s">
        <v>34</v>
      </c>
      <c r="D42" t="s">
        <v>67</v>
      </c>
      <c r="K42" s="6" t="s">
        <v>83</v>
      </c>
      <c r="L42" s="7">
        <v>286</v>
      </c>
      <c r="M42" s="7">
        <v>58</v>
      </c>
      <c r="N42" s="7">
        <v>344</v>
      </c>
    </row>
    <row r="43" spans="1:14" x14ac:dyDescent="0.3">
      <c r="A43" s="6" t="s">
        <v>76</v>
      </c>
      <c r="B43" s="7">
        <v>286</v>
      </c>
      <c r="C43" s="7">
        <v>100</v>
      </c>
      <c r="D43" s="7">
        <v>386</v>
      </c>
      <c r="K43" s="6" t="s">
        <v>84</v>
      </c>
      <c r="L43" s="7">
        <v>766</v>
      </c>
      <c r="M43" s="7">
        <v>127</v>
      </c>
      <c r="N43" s="7">
        <v>893</v>
      </c>
    </row>
    <row r="44" spans="1:14" x14ac:dyDescent="0.3">
      <c r="A44" s="6" t="s">
        <v>77</v>
      </c>
      <c r="B44" s="7">
        <v>822</v>
      </c>
      <c r="C44" s="7">
        <v>119</v>
      </c>
      <c r="D44" s="7">
        <v>941</v>
      </c>
      <c r="K44" s="6" t="s">
        <v>82</v>
      </c>
      <c r="L44" s="7">
        <v>55</v>
      </c>
      <c r="M44" s="7">
        <v>25</v>
      </c>
      <c r="N44" s="7">
        <v>80</v>
      </c>
    </row>
    <row r="45" spans="1:14" x14ac:dyDescent="0.3">
      <c r="A45" s="6" t="s">
        <v>78</v>
      </c>
      <c r="B45" s="7">
        <v>125</v>
      </c>
      <c r="C45" s="7">
        <v>18</v>
      </c>
      <c r="D45" s="7">
        <v>143</v>
      </c>
      <c r="K45" s="6" t="s">
        <v>67</v>
      </c>
      <c r="L45" s="7">
        <v>1233</v>
      </c>
      <c r="M45" s="7">
        <v>237</v>
      </c>
      <c r="N45" s="7">
        <v>1470</v>
      </c>
    </row>
    <row r="46" spans="1:14" x14ac:dyDescent="0.3">
      <c r="A46" s="6" t="s">
        <v>67</v>
      </c>
      <c r="B46" s="7">
        <v>1233</v>
      </c>
      <c r="C46" s="7">
        <v>237</v>
      </c>
      <c r="D46" s="7">
        <v>1470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0947-2565-4EF5-8CA8-F008C633D674}">
  <dimension ref="G5:H6"/>
  <sheetViews>
    <sheetView workbookViewId="0">
      <selection activeCell="L6" sqref="L6"/>
    </sheetView>
  </sheetViews>
  <sheetFormatPr defaultRowHeight="14.4" x14ac:dyDescent="0.3"/>
  <cols>
    <col min="1" max="1" width="23.44140625" bestFit="1" customWidth="1"/>
    <col min="2" max="2" width="15.5546875" bestFit="1" customWidth="1"/>
    <col min="3" max="3" width="4" bestFit="1" customWidth="1"/>
    <col min="4" max="4" width="10.5546875" bestFit="1" customWidth="1"/>
    <col min="7" max="7" width="12.77734375" customWidth="1"/>
    <col min="8" max="8" width="10.33203125" customWidth="1"/>
  </cols>
  <sheetData>
    <row r="5" spans="7:8" x14ac:dyDescent="0.3">
      <c r="G5" s="1" t="s">
        <v>71</v>
      </c>
      <c r="H5" s="8">
        <f>127/416</f>
        <v>0.30528846153846156</v>
      </c>
    </row>
    <row r="6" spans="7:8" x14ac:dyDescent="0.3">
      <c r="G6" s="1" t="s">
        <v>72</v>
      </c>
      <c r="H6" s="8">
        <f>110/1054</f>
        <v>0.10436432637571158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1421-9BF4-475B-B664-4BE413CE3197}">
  <dimension ref="A3:B5"/>
  <sheetViews>
    <sheetView workbookViewId="0">
      <selection activeCell="N18" sqref="N18"/>
    </sheetView>
  </sheetViews>
  <sheetFormatPr defaultRowHeight="14.4" x14ac:dyDescent="0.3"/>
  <cols>
    <col min="1" max="1" width="16.44140625" customWidth="1"/>
    <col min="2" max="2" width="7.109375" bestFit="1" customWidth="1"/>
    <col min="3" max="3" width="6.88671875" customWidth="1"/>
    <col min="4" max="4" width="10.5546875" bestFit="1" customWidth="1"/>
    <col min="6" max="6" width="15.77734375" bestFit="1" customWidth="1"/>
    <col min="7" max="7" width="10.33203125" customWidth="1"/>
  </cols>
  <sheetData>
    <row r="3" spans="1:2" x14ac:dyDescent="0.3">
      <c r="A3" s="1" t="s">
        <v>43</v>
      </c>
      <c r="B3" s="8">
        <f>69/208</f>
        <v>0.33173076923076922</v>
      </c>
    </row>
    <row r="4" spans="1:2" x14ac:dyDescent="0.3">
      <c r="A4" s="1" t="s">
        <v>35</v>
      </c>
      <c r="B4" s="8">
        <f>156/1043</f>
        <v>0.14956855225311602</v>
      </c>
    </row>
    <row r="5" spans="1:2" x14ac:dyDescent="0.3">
      <c r="A5" s="1" t="s">
        <v>54</v>
      </c>
      <c r="B5" s="8">
        <f>12/150*100%</f>
        <v>0.08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618E-D09D-4891-ACC0-7937DEDDD084}">
  <dimension ref="A1:B3"/>
  <sheetViews>
    <sheetView workbookViewId="0">
      <selection activeCell="C21" sqref="C21"/>
    </sheetView>
  </sheetViews>
  <sheetFormatPr defaultRowHeight="14.4" x14ac:dyDescent="0.3"/>
  <cols>
    <col min="1" max="1" width="11.21875" customWidth="1"/>
    <col min="2" max="2" width="12" customWidth="1"/>
    <col min="3" max="3" width="9.109375" customWidth="1"/>
    <col min="4" max="4" width="10.5546875" bestFit="1" customWidth="1"/>
    <col min="6" max="7" width="10.33203125" customWidth="1"/>
  </cols>
  <sheetData>
    <row r="1" spans="1:2" x14ac:dyDescent="0.3">
      <c r="A1" s="1" t="s">
        <v>51</v>
      </c>
      <c r="B1" s="8">
        <f>33/327</f>
        <v>0.10091743119266056</v>
      </c>
    </row>
    <row r="2" spans="1:2" x14ac:dyDescent="0.3">
      <c r="A2" s="1" t="s">
        <v>47</v>
      </c>
      <c r="B2" s="8">
        <f>84/673</f>
        <v>0.12481426448736999</v>
      </c>
    </row>
    <row r="3" spans="1:2" x14ac:dyDescent="0.3">
      <c r="A3" s="1" t="s">
        <v>40</v>
      </c>
      <c r="B3" s="8">
        <f>120/470</f>
        <v>0.25531914893617019</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8287-25DB-4FA2-A609-A925FC705E59}">
  <dimension ref="F3:G6"/>
  <sheetViews>
    <sheetView topLeftCell="A2" workbookViewId="0">
      <selection activeCell="E19" sqref="E19"/>
    </sheetView>
  </sheetViews>
  <sheetFormatPr defaultRowHeight="14.4" x14ac:dyDescent="0.3"/>
  <cols>
    <col min="1" max="1" width="23.44140625" bestFit="1" customWidth="1"/>
    <col min="2" max="2" width="5" bestFit="1" customWidth="1"/>
    <col min="3" max="3" width="4" bestFit="1" customWidth="1"/>
    <col min="4" max="4" width="10.5546875" bestFit="1" customWidth="1"/>
    <col min="5" max="5" width="22.33203125" bestFit="1" customWidth="1"/>
    <col min="6" max="6" width="26.109375" bestFit="1" customWidth="1"/>
    <col min="7" max="7" width="26.88671875" bestFit="1" customWidth="1"/>
  </cols>
  <sheetData>
    <row r="3" spans="6:7" x14ac:dyDescent="0.3">
      <c r="F3" s="1" t="s">
        <v>79</v>
      </c>
      <c r="G3" s="1" t="s">
        <v>62</v>
      </c>
    </row>
    <row r="4" spans="6:7" x14ac:dyDescent="0.3">
      <c r="F4" s="1" t="s">
        <v>76</v>
      </c>
      <c r="G4" s="17">
        <f>100/386*100</f>
        <v>25.906735751295333</v>
      </c>
    </row>
    <row r="5" spans="6:7" x14ac:dyDescent="0.3">
      <c r="F5" s="1" t="s">
        <v>77</v>
      </c>
      <c r="G5" s="17">
        <f>119/941*100</f>
        <v>12.646121147715197</v>
      </c>
    </row>
    <row r="6" spans="6:7" x14ac:dyDescent="0.3">
      <c r="F6" s="1" t="s">
        <v>78</v>
      </c>
      <c r="G6" s="17">
        <f>18/143*100</f>
        <v>12.587412587412588</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E1B7-8D62-4990-B2BB-D644CBE540FE}">
  <dimension ref="G4:H8"/>
  <sheetViews>
    <sheetView workbookViewId="0">
      <selection activeCell="G17" sqref="G17"/>
    </sheetView>
  </sheetViews>
  <sheetFormatPr defaultRowHeight="14.4" x14ac:dyDescent="0.3"/>
  <cols>
    <col min="1" max="1" width="23.44140625" bestFit="1" customWidth="1"/>
    <col min="2" max="2" width="5" bestFit="1" customWidth="1"/>
    <col min="3" max="3" width="4" bestFit="1" customWidth="1"/>
    <col min="4" max="4" width="10.5546875" bestFit="1" customWidth="1"/>
    <col min="7" max="7" width="17.5546875" style="1" customWidth="1"/>
    <col min="8" max="8" width="13.88671875" style="18" customWidth="1"/>
  </cols>
  <sheetData>
    <row r="4" spans="7:8" x14ac:dyDescent="0.3">
      <c r="G4" s="1" t="s">
        <v>80</v>
      </c>
      <c r="H4" s="18" t="s">
        <v>62</v>
      </c>
    </row>
    <row r="5" spans="7:8" x14ac:dyDescent="0.3">
      <c r="G5" s="1" t="s">
        <v>82</v>
      </c>
      <c r="H5" s="18">
        <f>25/80</f>
        <v>0.3125</v>
      </c>
    </row>
    <row r="6" spans="7:8" x14ac:dyDescent="0.3">
      <c r="G6" s="1" t="s">
        <v>83</v>
      </c>
      <c r="H6" s="18">
        <f>58/344</f>
        <v>0.16860465116279069</v>
      </c>
    </row>
    <row r="7" spans="7:8" x14ac:dyDescent="0.3">
      <c r="G7" s="1" t="s">
        <v>84</v>
      </c>
      <c r="H7" s="18">
        <f>127/893</f>
        <v>0.14221724524076149</v>
      </c>
    </row>
    <row r="8" spans="7:8" x14ac:dyDescent="0.3">
      <c r="G8" s="1" t="s">
        <v>85</v>
      </c>
      <c r="H8" s="18">
        <f>27/153</f>
        <v>0.17647058823529413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110B-E8E2-4326-B461-86F2E47A3611}">
  <dimension ref="A1:AK1471"/>
  <sheetViews>
    <sheetView topLeftCell="AA1" workbookViewId="0">
      <selection activeCell="AK3" sqref="AK3"/>
    </sheetView>
  </sheetViews>
  <sheetFormatPr defaultRowHeight="14.4" x14ac:dyDescent="0.3"/>
  <cols>
    <col min="1" max="1" width="10.6640625" bestFit="1" customWidth="1"/>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 min="37" max="37" width="20.33203125" bestFit="1" customWidth="1"/>
  </cols>
  <sheetData>
    <row r="1" spans="1:37" s="1" customFormat="1" x14ac:dyDescent="0.3">
      <c r="A1" s="1" t="s">
        <v>65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75</v>
      </c>
      <c r="AK1" s="1" t="s">
        <v>81</v>
      </c>
    </row>
    <row r="2" spans="1:37" x14ac:dyDescent="0.3">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c r="AJ2" t="str">
        <f>IF(Table1[[#This Row],[Column1]]&lt;=30,"18-30",IF(Table1[[#This Row],[Column1]]&lt;=50,"31-50","51+"))</f>
        <v>31-50</v>
      </c>
      <c r="AK2" t="str">
        <f>IF(Table1[[#This Row],[WorkLifeBalance]]=1,"Poor",IF(Table1[[#This Row],[WorkLifeBalance]]=2,"Fair",IF(Table1[[#This Row],[WorkLifeBalance]]=3,"Good","Excellent")))</f>
        <v>Poor</v>
      </c>
    </row>
    <row r="3" spans="1:37" x14ac:dyDescent="0.3">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c r="AJ3" t="str">
        <f>IF(Table1[[#This Row],[Column1]]&lt;=30,"18-30",IF(Table1[[#This Row],[Column1]]&lt;=50,"31-50","51+"))</f>
        <v>31-50</v>
      </c>
      <c r="AK3" t="str">
        <f>IF(Table1[[#This Row],[WorkLifeBalance]]=1,"Poor",IF(Table1[[#This Row],[WorkLifeBalance]]=2,"Fair",IF(Table1[[#This Row],[WorkLifeBalance]]=3,"Good","Excellent")))</f>
        <v>Good</v>
      </c>
    </row>
    <row r="4" spans="1:37" x14ac:dyDescent="0.3">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c r="AJ4" t="str">
        <f>IF(Table1[[#This Row],[Column1]]&lt;=30,"18-30",IF(Table1[[#This Row],[Column1]]&lt;=50,"31-50","51+"))</f>
        <v>31-50</v>
      </c>
      <c r="AK4" t="str">
        <f>IF(Table1[[#This Row],[WorkLifeBalance]]=1,"Poor",IF(Table1[[#This Row],[WorkLifeBalance]]=2,"Fair",IF(Table1[[#This Row],[WorkLifeBalance]]=3,"Good","Excellent")))</f>
        <v>Good</v>
      </c>
    </row>
    <row r="5" spans="1:37" x14ac:dyDescent="0.3">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c r="AJ5" t="str">
        <f>IF(Table1[[#This Row],[Column1]]&lt;=30,"18-30",IF(Table1[[#This Row],[Column1]]&lt;=50,"31-50","51+"))</f>
        <v>31-50</v>
      </c>
      <c r="AK5" t="str">
        <f>IF(Table1[[#This Row],[WorkLifeBalance]]=1,"Poor",IF(Table1[[#This Row],[WorkLifeBalance]]=2,"Fair",IF(Table1[[#This Row],[WorkLifeBalance]]=3,"Good","Excellent")))</f>
        <v>Good</v>
      </c>
    </row>
    <row r="6" spans="1:37" x14ac:dyDescent="0.3">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c r="AJ6" t="str">
        <f>IF(Table1[[#This Row],[Column1]]&lt;=30,"18-30",IF(Table1[[#This Row],[Column1]]&lt;=50,"31-50","51+"))</f>
        <v>18-30</v>
      </c>
      <c r="AK6" t="str">
        <f>IF(Table1[[#This Row],[WorkLifeBalance]]=1,"Poor",IF(Table1[[#This Row],[WorkLifeBalance]]=2,"Fair",IF(Table1[[#This Row],[WorkLifeBalance]]=3,"Good","Excellent")))</f>
        <v>Good</v>
      </c>
    </row>
    <row r="7" spans="1:37" x14ac:dyDescent="0.3">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c r="AJ7" t="str">
        <f>IF(Table1[[#This Row],[Column1]]&lt;=30,"18-30",IF(Table1[[#This Row],[Column1]]&lt;=50,"31-50","51+"))</f>
        <v>31-50</v>
      </c>
      <c r="AK7" t="str">
        <f>IF(Table1[[#This Row],[WorkLifeBalance]]=1,"Poor",IF(Table1[[#This Row],[WorkLifeBalance]]=2,"Fair",IF(Table1[[#This Row],[WorkLifeBalance]]=3,"Good","Excellent")))</f>
        <v>Fair</v>
      </c>
    </row>
    <row r="8" spans="1:37" x14ac:dyDescent="0.3">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c r="AJ8" t="str">
        <f>IF(Table1[[#This Row],[Column1]]&lt;=30,"18-30",IF(Table1[[#This Row],[Column1]]&lt;=50,"31-50","51+"))</f>
        <v>51+</v>
      </c>
      <c r="AK8" t="str">
        <f>IF(Table1[[#This Row],[WorkLifeBalance]]=1,"Poor",IF(Table1[[#This Row],[WorkLifeBalance]]=2,"Fair",IF(Table1[[#This Row],[WorkLifeBalance]]=3,"Good","Excellent")))</f>
        <v>Fair</v>
      </c>
    </row>
    <row r="9" spans="1:37" x14ac:dyDescent="0.3">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c r="AJ9" t="str">
        <f>IF(Table1[[#This Row],[Column1]]&lt;=30,"18-30",IF(Table1[[#This Row],[Column1]]&lt;=50,"31-50","51+"))</f>
        <v>18-30</v>
      </c>
      <c r="AK9" t="str">
        <f>IF(Table1[[#This Row],[WorkLifeBalance]]=1,"Poor",IF(Table1[[#This Row],[WorkLifeBalance]]=2,"Fair",IF(Table1[[#This Row],[WorkLifeBalance]]=3,"Good","Excellent")))</f>
        <v>Good</v>
      </c>
    </row>
    <row r="10" spans="1:37" x14ac:dyDescent="0.3">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c r="AJ10" t="str">
        <f>IF(Table1[[#This Row],[Column1]]&lt;=30,"18-30",IF(Table1[[#This Row],[Column1]]&lt;=50,"31-50","51+"))</f>
        <v>31-50</v>
      </c>
      <c r="AK10" t="str">
        <f>IF(Table1[[#This Row],[WorkLifeBalance]]=1,"Poor",IF(Table1[[#This Row],[WorkLifeBalance]]=2,"Fair",IF(Table1[[#This Row],[WorkLifeBalance]]=3,"Good","Excellent")))</f>
        <v>Good</v>
      </c>
    </row>
    <row r="11" spans="1:37" x14ac:dyDescent="0.3">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c r="AJ11" t="str">
        <f>IF(Table1[[#This Row],[Column1]]&lt;=30,"18-30",IF(Table1[[#This Row],[Column1]]&lt;=50,"31-50","51+"))</f>
        <v>31-50</v>
      </c>
      <c r="AK11" t="str">
        <f>IF(Table1[[#This Row],[WorkLifeBalance]]=1,"Poor",IF(Table1[[#This Row],[WorkLifeBalance]]=2,"Fair",IF(Table1[[#This Row],[WorkLifeBalance]]=3,"Good","Excellent")))</f>
        <v>Fair</v>
      </c>
    </row>
    <row r="12" spans="1:37" x14ac:dyDescent="0.3">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c r="AJ12" t="str">
        <f>IF(Table1[[#This Row],[Column1]]&lt;=30,"18-30",IF(Table1[[#This Row],[Column1]]&lt;=50,"31-50","51+"))</f>
        <v>31-50</v>
      </c>
      <c r="AK12" t="str">
        <f>IF(Table1[[#This Row],[WorkLifeBalance]]=1,"Poor",IF(Table1[[#This Row],[WorkLifeBalance]]=2,"Fair",IF(Table1[[#This Row],[WorkLifeBalance]]=3,"Good","Excellent")))</f>
        <v>Good</v>
      </c>
    </row>
    <row r="13" spans="1:37" x14ac:dyDescent="0.3">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c r="AJ13" t="str">
        <f>IF(Table1[[#This Row],[Column1]]&lt;=30,"18-30",IF(Table1[[#This Row],[Column1]]&lt;=50,"31-50","51+"))</f>
        <v>18-30</v>
      </c>
      <c r="AK13" t="str">
        <f>IF(Table1[[#This Row],[WorkLifeBalance]]=1,"Poor",IF(Table1[[#This Row],[WorkLifeBalance]]=2,"Fair",IF(Table1[[#This Row],[WorkLifeBalance]]=3,"Good","Excellent")))</f>
        <v>Good</v>
      </c>
    </row>
    <row r="14" spans="1:37" x14ac:dyDescent="0.3">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c r="AJ14" t="str">
        <f>IF(Table1[[#This Row],[Column1]]&lt;=30,"18-30",IF(Table1[[#This Row],[Column1]]&lt;=50,"31-50","51+"))</f>
        <v>31-50</v>
      </c>
      <c r="AK14" t="str">
        <f>IF(Table1[[#This Row],[WorkLifeBalance]]=1,"Poor",IF(Table1[[#This Row],[WorkLifeBalance]]=2,"Fair",IF(Table1[[#This Row],[WorkLifeBalance]]=3,"Good","Excellent")))</f>
        <v>Fair</v>
      </c>
    </row>
    <row r="15" spans="1:37" x14ac:dyDescent="0.3">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c r="AJ15" t="str">
        <f>IF(Table1[[#This Row],[Column1]]&lt;=30,"18-30",IF(Table1[[#This Row],[Column1]]&lt;=50,"31-50","51+"))</f>
        <v>31-50</v>
      </c>
      <c r="AK15" t="str">
        <f>IF(Table1[[#This Row],[WorkLifeBalance]]=1,"Poor",IF(Table1[[#This Row],[WorkLifeBalance]]=2,"Fair",IF(Table1[[#This Row],[WorkLifeBalance]]=3,"Good","Excellent")))</f>
        <v>Good</v>
      </c>
    </row>
    <row r="16" spans="1:37" x14ac:dyDescent="0.3">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c r="AJ16" t="str">
        <f>IF(Table1[[#This Row],[Column1]]&lt;=30,"18-30",IF(Table1[[#This Row],[Column1]]&lt;=50,"31-50","51+"))</f>
        <v>18-30</v>
      </c>
      <c r="AK16" t="str">
        <f>IF(Table1[[#This Row],[WorkLifeBalance]]=1,"Poor",IF(Table1[[#This Row],[WorkLifeBalance]]=2,"Fair",IF(Table1[[#This Row],[WorkLifeBalance]]=3,"Good","Excellent")))</f>
        <v>Good</v>
      </c>
    </row>
    <row r="17" spans="1:37" x14ac:dyDescent="0.3">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c r="AJ17" t="str">
        <f>IF(Table1[[#This Row],[Column1]]&lt;=30,"18-30",IF(Table1[[#This Row],[Column1]]&lt;=50,"31-50","51+"))</f>
        <v>18-30</v>
      </c>
      <c r="AK17" t="str">
        <f>IF(Table1[[#This Row],[WorkLifeBalance]]=1,"Poor",IF(Table1[[#This Row],[WorkLifeBalance]]=2,"Fair",IF(Table1[[#This Row],[WorkLifeBalance]]=3,"Good","Excellent")))</f>
        <v>Good</v>
      </c>
    </row>
    <row r="18" spans="1:37" x14ac:dyDescent="0.3">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c r="AJ18" t="str">
        <f>IF(Table1[[#This Row],[Column1]]&lt;=30,"18-30",IF(Table1[[#This Row],[Column1]]&lt;=50,"31-50","51+"))</f>
        <v>31-50</v>
      </c>
      <c r="AK18" t="str">
        <f>IF(Table1[[#This Row],[WorkLifeBalance]]=1,"Poor",IF(Table1[[#This Row],[WorkLifeBalance]]=2,"Fair",IF(Table1[[#This Row],[WorkLifeBalance]]=3,"Good","Excellent")))</f>
        <v>Fair</v>
      </c>
    </row>
    <row r="19" spans="1:37" x14ac:dyDescent="0.3">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c r="AJ19" t="str">
        <f>IF(Table1[[#This Row],[Column1]]&lt;=30,"18-30",IF(Table1[[#This Row],[Column1]]&lt;=50,"31-50","51+"))</f>
        <v>18-30</v>
      </c>
      <c r="AK19" t="str">
        <f>IF(Table1[[#This Row],[WorkLifeBalance]]=1,"Poor",IF(Table1[[#This Row],[WorkLifeBalance]]=2,"Fair",IF(Table1[[#This Row],[WorkLifeBalance]]=3,"Good","Excellent")))</f>
        <v>Fair</v>
      </c>
    </row>
    <row r="20" spans="1:37" x14ac:dyDescent="0.3">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c r="AJ20" t="str">
        <f>IF(Table1[[#This Row],[Column1]]&lt;=30,"18-30",IF(Table1[[#This Row],[Column1]]&lt;=50,"31-50","51+"))</f>
        <v>51+</v>
      </c>
      <c r="AK20" t="str">
        <f>IF(Table1[[#This Row],[WorkLifeBalance]]=1,"Poor",IF(Table1[[#This Row],[WorkLifeBalance]]=2,"Fair",IF(Table1[[#This Row],[WorkLifeBalance]]=3,"Good","Excellent")))</f>
        <v>Good</v>
      </c>
    </row>
    <row r="21" spans="1:37" x14ac:dyDescent="0.3">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c r="AJ21" t="str">
        <f>IF(Table1[[#This Row],[Column1]]&lt;=30,"18-30",IF(Table1[[#This Row],[Column1]]&lt;=50,"31-50","51+"))</f>
        <v>31-50</v>
      </c>
      <c r="AK21" t="str">
        <f>IF(Table1[[#This Row],[WorkLifeBalance]]=1,"Poor",IF(Table1[[#This Row],[WorkLifeBalance]]=2,"Fair",IF(Table1[[#This Row],[WorkLifeBalance]]=3,"Good","Excellent")))</f>
        <v>Good</v>
      </c>
    </row>
    <row r="22" spans="1:37" x14ac:dyDescent="0.3">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c r="AJ22" t="str">
        <f>IF(Table1[[#This Row],[Column1]]&lt;=30,"18-30",IF(Table1[[#This Row],[Column1]]&lt;=50,"31-50","51+"))</f>
        <v>18-30</v>
      </c>
      <c r="AK22" t="str">
        <f>IF(Table1[[#This Row],[WorkLifeBalance]]=1,"Poor",IF(Table1[[#This Row],[WorkLifeBalance]]=2,"Fair",IF(Table1[[#This Row],[WorkLifeBalance]]=3,"Good","Excellent")))</f>
        <v>Fair</v>
      </c>
    </row>
    <row r="23" spans="1:37" x14ac:dyDescent="0.3">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c r="AJ23" t="str">
        <f>IF(Table1[[#This Row],[Column1]]&lt;=30,"18-30",IF(Table1[[#This Row],[Column1]]&lt;=50,"31-50","51+"))</f>
        <v>31-50</v>
      </c>
      <c r="AK23" t="str">
        <f>IF(Table1[[#This Row],[WorkLifeBalance]]=1,"Poor",IF(Table1[[#This Row],[WorkLifeBalance]]=2,"Fair",IF(Table1[[#This Row],[WorkLifeBalance]]=3,"Good","Excellent")))</f>
        <v>Good</v>
      </c>
    </row>
    <row r="24" spans="1:37" x14ac:dyDescent="0.3">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c r="AJ24" t="str">
        <f>IF(Table1[[#This Row],[Column1]]&lt;=30,"18-30",IF(Table1[[#This Row],[Column1]]&lt;=50,"31-50","51+"))</f>
        <v>31-50</v>
      </c>
      <c r="AK24" t="str">
        <f>IF(Table1[[#This Row],[WorkLifeBalance]]=1,"Poor",IF(Table1[[#This Row],[WorkLifeBalance]]=2,"Fair",IF(Table1[[#This Row],[WorkLifeBalance]]=3,"Good","Excellent")))</f>
        <v>Good</v>
      </c>
    </row>
    <row r="25" spans="1:37" x14ac:dyDescent="0.3">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c r="AJ25" t="str">
        <f>IF(Table1[[#This Row],[Column1]]&lt;=30,"18-30",IF(Table1[[#This Row],[Column1]]&lt;=50,"31-50","51+"))</f>
        <v>18-30</v>
      </c>
      <c r="AK25" t="str">
        <f>IF(Table1[[#This Row],[WorkLifeBalance]]=1,"Poor",IF(Table1[[#This Row],[WorkLifeBalance]]=2,"Fair",IF(Table1[[#This Row],[WorkLifeBalance]]=3,"Good","Excellent")))</f>
        <v>Good</v>
      </c>
    </row>
    <row r="26" spans="1:37" x14ac:dyDescent="0.3">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c r="AJ26" t="str">
        <f>IF(Table1[[#This Row],[Column1]]&lt;=30,"18-30",IF(Table1[[#This Row],[Column1]]&lt;=50,"31-50","51+"))</f>
        <v>31-50</v>
      </c>
      <c r="AK26" t="str">
        <f>IF(Table1[[#This Row],[WorkLifeBalance]]=1,"Poor",IF(Table1[[#This Row],[WorkLifeBalance]]=2,"Fair",IF(Table1[[#This Row],[WorkLifeBalance]]=3,"Good","Excellent")))</f>
        <v>Good</v>
      </c>
    </row>
    <row r="27" spans="1:37" x14ac:dyDescent="0.3">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c r="AJ27" t="str">
        <f>IF(Table1[[#This Row],[Column1]]&lt;=30,"18-30",IF(Table1[[#This Row],[Column1]]&lt;=50,"31-50","51+"))</f>
        <v>51+</v>
      </c>
      <c r="AK27" t="str">
        <f>IF(Table1[[#This Row],[WorkLifeBalance]]=1,"Poor",IF(Table1[[#This Row],[WorkLifeBalance]]=2,"Fair",IF(Table1[[#This Row],[WorkLifeBalance]]=3,"Good","Excellent")))</f>
        <v>Fair</v>
      </c>
    </row>
    <row r="28" spans="1:37" x14ac:dyDescent="0.3">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c r="AJ28" t="str">
        <f>IF(Table1[[#This Row],[Column1]]&lt;=30,"18-30",IF(Table1[[#This Row],[Column1]]&lt;=50,"31-50","51+"))</f>
        <v>31-50</v>
      </c>
      <c r="AK28" t="str">
        <f>IF(Table1[[#This Row],[WorkLifeBalance]]=1,"Poor",IF(Table1[[#This Row],[WorkLifeBalance]]=2,"Fair",IF(Table1[[#This Row],[WorkLifeBalance]]=3,"Good","Excellent")))</f>
        <v>Good</v>
      </c>
    </row>
    <row r="29" spans="1:37" x14ac:dyDescent="0.3">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c r="AJ29" t="str">
        <f>IF(Table1[[#This Row],[Column1]]&lt;=30,"18-30",IF(Table1[[#This Row],[Column1]]&lt;=50,"31-50","51+"))</f>
        <v>31-50</v>
      </c>
      <c r="AK29" t="str">
        <f>IF(Table1[[#This Row],[WorkLifeBalance]]=1,"Poor",IF(Table1[[#This Row],[WorkLifeBalance]]=2,"Fair",IF(Table1[[#This Row],[WorkLifeBalance]]=3,"Good","Excellent")))</f>
        <v>Good</v>
      </c>
    </row>
    <row r="30" spans="1:37" x14ac:dyDescent="0.3">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c r="AJ30" t="str">
        <f>IF(Table1[[#This Row],[Column1]]&lt;=30,"18-30",IF(Table1[[#This Row],[Column1]]&lt;=50,"31-50","51+"))</f>
        <v>31-50</v>
      </c>
      <c r="AK30" t="str">
        <f>IF(Table1[[#This Row],[WorkLifeBalance]]=1,"Poor",IF(Table1[[#This Row],[WorkLifeBalance]]=2,"Fair",IF(Table1[[#This Row],[WorkLifeBalance]]=3,"Good","Excellent")))</f>
        <v>Good</v>
      </c>
    </row>
    <row r="31" spans="1:37" x14ac:dyDescent="0.3">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c r="AJ31" t="str">
        <f>IF(Table1[[#This Row],[Column1]]&lt;=30,"18-30",IF(Table1[[#This Row],[Column1]]&lt;=50,"31-50","51+"))</f>
        <v>31-50</v>
      </c>
      <c r="AK31" t="str">
        <f>IF(Table1[[#This Row],[WorkLifeBalance]]=1,"Poor",IF(Table1[[#This Row],[WorkLifeBalance]]=2,"Fair",IF(Table1[[#This Row],[WorkLifeBalance]]=3,"Good","Excellent")))</f>
        <v>Fair</v>
      </c>
    </row>
    <row r="32" spans="1:37" x14ac:dyDescent="0.3">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c r="AJ32" t="str">
        <f>IF(Table1[[#This Row],[Column1]]&lt;=30,"18-30",IF(Table1[[#This Row],[Column1]]&lt;=50,"31-50","51+"))</f>
        <v>31-50</v>
      </c>
      <c r="AK32" t="str">
        <f>IF(Table1[[#This Row],[WorkLifeBalance]]=1,"Poor",IF(Table1[[#This Row],[WorkLifeBalance]]=2,"Fair",IF(Table1[[#This Row],[WorkLifeBalance]]=3,"Good","Excellent")))</f>
        <v>Good</v>
      </c>
    </row>
    <row r="33" spans="1:37" x14ac:dyDescent="0.3">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c r="AJ33" t="str">
        <f>IF(Table1[[#This Row],[Column1]]&lt;=30,"18-30",IF(Table1[[#This Row],[Column1]]&lt;=50,"31-50","51+"))</f>
        <v>31-50</v>
      </c>
      <c r="AK33" t="str">
        <f>IF(Table1[[#This Row],[WorkLifeBalance]]=1,"Poor",IF(Table1[[#This Row],[WorkLifeBalance]]=2,"Fair",IF(Table1[[#This Row],[WorkLifeBalance]]=3,"Good","Excellent")))</f>
        <v>Excellent</v>
      </c>
    </row>
    <row r="34" spans="1:37" x14ac:dyDescent="0.3">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c r="AJ34" t="str">
        <f>IF(Table1[[#This Row],[Column1]]&lt;=30,"18-30",IF(Table1[[#This Row],[Column1]]&lt;=50,"31-50","51+"))</f>
        <v>18-30</v>
      </c>
      <c r="AK34" t="str">
        <f>IF(Table1[[#This Row],[WorkLifeBalance]]=1,"Poor",IF(Table1[[#This Row],[WorkLifeBalance]]=2,"Fair",IF(Table1[[#This Row],[WorkLifeBalance]]=3,"Good","Excellent")))</f>
        <v>Good</v>
      </c>
    </row>
    <row r="35" spans="1:37" x14ac:dyDescent="0.3">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c r="AJ35" t="str">
        <f>IF(Table1[[#This Row],[Column1]]&lt;=30,"18-30",IF(Table1[[#This Row],[Column1]]&lt;=50,"31-50","51+"))</f>
        <v>31-50</v>
      </c>
      <c r="AK35" t="str">
        <f>IF(Table1[[#This Row],[WorkLifeBalance]]=1,"Poor",IF(Table1[[#This Row],[WorkLifeBalance]]=2,"Fair",IF(Table1[[#This Row],[WorkLifeBalance]]=3,"Good","Excellent")))</f>
        <v>Excellent</v>
      </c>
    </row>
    <row r="36" spans="1:37" x14ac:dyDescent="0.3">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c r="AJ36" t="str">
        <f>IF(Table1[[#This Row],[Column1]]&lt;=30,"18-30",IF(Table1[[#This Row],[Column1]]&lt;=50,"31-50","51+"))</f>
        <v>18-30</v>
      </c>
      <c r="AK36" t="str">
        <f>IF(Table1[[#This Row],[WorkLifeBalance]]=1,"Poor",IF(Table1[[#This Row],[WorkLifeBalance]]=2,"Fair",IF(Table1[[#This Row],[WorkLifeBalance]]=3,"Good","Excellent")))</f>
        <v>Fair</v>
      </c>
    </row>
    <row r="37" spans="1:37" x14ac:dyDescent="0.3">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c r="AJ37" t="str">
        <f>IF(Table1[[#This Row],[Column1]]&lt;=30,"18-30",IF(Table1[[#This Row],[Column1]]&lt;=50,"31-50","51+"))</f>
        <v>31-50</v>
      </c>
      <c r="AK37" t="str">
        <f>IF(Table1[[#This Row],[WorkLifeBalance]]=1,"Poor",IF(Table1[[#This Row],[WorkLifeBalance]]=2,"Fair",IF(Table1[[#This Row],[WorkLifeBalance]]=3,"Good","Excellent")))</f>
        <v>Fair</v>
      </c>
    </row>
    <row r="38" spans="1:37" x14ac:dyDescent="0.3">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c r="AJ38" t="str">
        <f>IF(Table1[[#This Row],[Column1]]&lt;=30,"18-30",IF(Table1[[#This Row],[Column1]]&lt;=50,"31-50","51+"))</f>
        <v>31-50</v>
      </c>
      <c r="AK38" t="str">
        <f>IF(Table1[[#This Row],[WorkLifeBalance]]=1,"Poor",IF(Table1[[#This Row],[WorkLifeBalance]]=2,"Fair",IF(Table1[[#This Row],[WorkLifeBalance]]=3,"Good","Excellent")))</f>
        <v>Good</v>
      </c>
    </row>
    <row r="39" spans="1:37" x14ac:dyDescent="0.3">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c r="AJ39" t="str">
        <f>IF(Table1[[#This Row],[Column1]]&lt;=30,"18-30",IF(Table1[[#This Row],[Column1]]&lt;=50,"31-50","51+"))</f>
        <v>31-50</v>
      </c>
      <c r="AK39" t="str">
        <f>IF(Table1[[#This Row],[WorkLifeBalance]]=1,"Poor",IF(Table1[[#This Row],[WorkLifeBalance]]=2,"Fair",IF(Table1[[#This Row],[WorkLifeBalance]]=3,"Good","Excellent")))</f>
        <v>Good</v>
      </c>
    </row>
    <row r="40" spans="1:37" x14ac:dyDescent="0.3">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c r="AJ40" t="str">
        <f>IF(Table1[[#This Row],[Column1]]&lt;=30,"18-30",IF(Table1[[#This Row],[Column1]]&lt;=50,"31-50","51+"))</f>
        <v>31-50</v>
      </c>
      <c r="AK40" t="str">
        <f>IF(Table1[[#This Row],[WorkLifeBalance]]=1,"Poor",IF(Table1[[#This Row],[WorkLifeBalance]]=2,"Fair",IF(Table1[[#This Row],[WorkLifeBalance]]=3,"Good","Excellent")))</f>
        <v>Excellent</v>
      </c>
    </row>
    <row r="41" spans="1:37" x14ac:dyDescent="0.3">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c r="AJ41" t="str">
        <f>IF(Table1[[#This Row],[Column1]]&lt;=30,"18-30",IF(Table1[[#This Row],[Column1]]&lt;=50,"31-50","51+"))</f>
        <v>31-50</v>
      </c>
      <c r="AK41" t="str">
        <f>IF(Table1[[#This Row],[WorkLifeBalance]]=1,"Poor",IF(Table1[[#This Row],[WorkLifeBalance]]=2,"Fair",IF(Table1[[#This Row],[WorkLifeBalance]]=3,"Good","Excellent")))</f>
        <v>Good</v>
      </c>
    </row>
    <row r="42" spans="1:37" x14ac:dyDescent="0.3">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c r="AJ42" t="str">
        <f>IF(Table1[[#This Row],[Column1]]&lt;=30,"18-30",IF(Table1[[#This Row],[Column1]]&lt;=50,"31-50","51+"))</f>
        <v>31-50</v>
      </c>
      <c r="AK42" t="str">
        <f>IF(Table1[[#This Row],[WorkLifeBalance]]=1,"Poor",IF(Table1[[#This Row],[WorkLifeBalance]]=2,"Fair",IF(Table1[[#This Row],[WorkLifeBalance]]=3,"Good","Excellent")))</f>
        <v>Good</v>
      </c>
    </row>
    <row r="43" spans="1:37" x14ac:dyDescent="0.3">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c r="AJ43" t="str">
        <f>IF(Table1[[#This Row],[Column1]]&lt;=30,"18-30",IF(Table1[[#This Row],[Column1]]&lt;=50,"31-50","51+"))</f>
        <v>18-30</v>
      </c>
      <c r="AK43" t="str">
        <f>IF(Table1[[#This Row],[WorkLifeBalance]]=1,"Poor",IF(Table1[[#This Row],[WorkLifeBalance]]=2,"Fair",IF(Table1[[#This Row],[WorkLifeBalance]]=3,"Good","Excellent")))</f>
        <v>Good</v>
      </c>
    </row>
    <row r="44" spans="1:37" x14ac:dyDescent="0.3">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c r="AJ44" t="str">
        <f>IF(Table1[[#This Row],[Column1]]&lt;=30,"18-30",IF(Table1[[#This Row],[Column1]]&lt;=50,"31-50","51+"))</f>
        <v>18-30</v>
      </c>
      <c r="AK44" t="str">
        <f>IF(Table1[[#This Row],[WorkLifeBalance]]=1,"Poor",IF(Table1[[#This Row],[WorkLifeBalance]]=2,"Fair",IF(Table1[[#This Row],[WorkLifeBalance]]=3,"Good","Excellent")))</f>
        <v>Fair</v>
      </c>
    </row>
    <row r="45" spans="1:37" x14ac:dyDescent="0.3">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c r="AJ45" t="str">
        <f>IF(Table1[[#This Row],[Column1]]&lt;=30,"18-30",IF(Table1[[#This Row],[Column1]]&lt;=50,"31-50","51+"))</f>
        <v>18-30</v>
      </c>
      <c r="AK45" t="str">
        <f>IF(Table1[[#This Row],[WorkLifeBalance]]=1,"Poor",IF(Table1[[#This Row],[WorkLifeBalance]]=2,"Fair",IF(Table1[[#This Row],[WorkLifeBalance]]=3,"Good","Excellent")))</f>
        <v>Good</v>
      </c>
    </row>
    <row r="46" spans="1:37" x14ac:dyDescent="0.3">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c r="AJ46" t="str">
        <f>IF(Table1[[#This Row],[Column1]]&lt;=30,"18-30",IF(Table1[[#This Row],[Column1]]&lt;=50,"31-50","51+"))</f>
        <v>18-30</v>
      </c>
      <c r="AK46" t="str">
        <f>IF(Table1[[#This Row],[WorkLifeBalance]]=1,"Poor",IF(Table1[[#This Row],[WorkLifeBalance]]=2,"Fair",IF(Table1[[#This Row],[WorkLifeBalance]]=3,"Good","Excellent")))</f>
        <v>Good</v>
      </c>
    </row>
    <row r="47" spans="1:37" x14ac:dyDescent="0.3">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c r="AJ47" t="str">
        <f>IF(Table1[[#This Row],[Column1]]&lt;=30,"18-30",IF(Table1[[#This Row],[Column1]]&lt;=50,"31-50","51+"))</f>
        <v>31-50</v>
      </c>
      <c r="AK47" t="str">
        <f>IF(Table1[[#This Row],[WorkLifeBalance]]=1,"Poor",IF(Table1[[#This Row],[WorkLifeBalance]]=2,"Fair",IF(Table1[[#This Row],[WorkLifeBalance]]=3,"Good","Excellent")))</f>
        <v>Good</v>
      </c>
    </row>
    <row r="48" spans="1:37" x14ac:dyDescent="0.3">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c r="AJ48" t="str">
        <f>IF(Table1[[#This Row],[Column1]]&lt;=30,"18-30",IF(Table1[[#This Row],[Column1]]&lt;=50,"31-50","51+"))</f>
        <v>31-50</v>
      </c>
      <c r="AK48" t="str">
        <f>IF(Table1[[#This Row],[WorkLifeBalance]]=1,"Poor",IF(Table1[[#This Row],[WorkLifeBalance]]=2,"Fair",IF(Table1[[#This Row],[WorkLifeBalance]]=3,"Good","Excellent")))</f>
        <v>Good</v>
      </c>
    </row>
    <row r="49" spans="1:37" x14ac:dyDescent="0.3">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c r="AJ49" t="str">
        <f>IF(Table1[[#This Row],[Column1]]&lt;=30,"18-30",IF(Table1[[#This Row],[Column1]]&lt;=50,"31-50","51+"))</f>
        <v>31-50</v>
      </c>
      <c r="AK49" t="str">
        <f>IF(Table1[[#This Row],[WorkLifeBalance]]=1,"Poor",IF(Table1[[#This Row],[WorkLifeBalance]]=2,"Fair",IF(Table1[[#This Row],[WorkLifeBalance]]=3,"Good","Excellent")))</f>
        <v>Good</v>
      </c>
    </row>
    <row r="50" spans="1:37" x14ac:dyDescent="0.3">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c r="AJ50" t="str">
        <f>IF(Table1[[#This Row],[Column1]]&lt;=30,"18-30",IF(Table1[[#This Row],[Column1]]&lt;=50,"31-50","51+"))</f>
        <v>31-50</v>
      </c>
      <c r="AK50" t="str">
        <f>IF(Table1[[#This Row],[WorkLifeBalance]]=1,"Poor",IF(Table1[[#This Row],[WorkLifeBalance]]=2,"Fair",IF(Table1[[#This Row],[WorkLifeBalance]]=3,"Good","Excellent")))</f>
        <v>Good</v>
      </c>
    </row>
    <row r="51" spans="1:37" x14ac:dyDescent="0.3">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c r="AJ51" t="str">
        <f>IF(Table1[[#This Row],[Column1]]&lt;=30,"18-30",IF(Table1[[#This Row],[Column1]]&lt;=50,"31-50","51+"))</f>
        <v>31-50</v>
      </c>
      <c r="AK51" t="str">
        <f>IF(Table1[[#This Row],[WorkLifeBalance]]=1,"Poor",IF(Table1[[#This Row],[WorkLifeBalance]]=2,"Fair",IF(Table1[[#This Row],[WorkLifeBalance]]=3,"Good","Excellent")))</f>
        <v>Good</v>
      </c>
    </row>
    <row r="52" spans="1:37" x14ac:dyDescent="0.3">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c r="AJ52" t="str">
        <f>IF(Table1[[#This Row],[Column1]]&lt;=30,"18-30",IF(Table1[[#This Row],[Column1]]&lt;=50,"31-50","51+"))</f>
        <v>31-50</v>
      </c>
      <c r="AK52" t="str">
        <f>IF(Table1[[#This Row],[WorkLifeBalance]]=1,"Poor",IF(Table1[[#This Row],[WorkLifeBalance]]=2,"Fair",IF(Table1[[#This Row],[WorkLifeBalance]]=3,"Good","Excellent")))</f>
        <v>Good</v>
      </c>
    </row>
    <row r="53" spans="1:37" x14ac:dyDescent="0.3">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c r="AJ53" t="str">
        <f>IF(Table1[[#This Row],[Column1]]&lt;=30,"18-30",IF(Table1[[#This Row],[Column1]]&lt;=50,"31-50","51+"))</f>
        <v>18-30</v>
      </c>
      <c r="AK53" t="str">
        <f>IF(Table1[[#This Row],[WorkLifeBalance]]=1,"Poor",IF(Table1[[#This Row],[WorkLifeBalance]]=2,"Fair",IF(Table1[[#This Row],[WorkLifeBalance]]=3,"Good","Excellent")))</f>
        <v>Fair</v>
      </c>
    </row>
    <row r="54" spans="1:37" x14ac:dyDescent="0.3">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c r="AJ54" t="str">
        <f>IF(Table1[[#This Row],[Column1]]&lt;=30,"18-30",IF(Table1[[#This Row],[Column1]]&lt;=50,"31-50","51+"))</f>
        <v>31-50</v>
      </c>
      <c r="AK54" t="str">
        <f>IF(Table1[[#This Row],[WorkLifeBalance]]=1,"Poor",IF(Table1[[#This Row],[WorkLifeBalance]]=2,"Fair",IF(Table1[[#This Row],[WorkLifeBalance]]=3,"Good","Excellent")))</f>
        <v>Fair</v>
      </c>
    </row>
    <row r="55" spans="1:37" x14ac:dyDescent="0.3">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c r="AJ55" t="str">
        <f>IF(Table1[[#This Row],[Column1]]&lt;=30,"18-30",IF(Table1[[#This Row],[Column1]]&lt;=50,"31-50","51+"))</f>
        <v>31-50</v>
      </c>
      <c r="AK55" t="str">
        <f>IF(Table1[[#This Row],[WorkLifeBalance]]=1,"Poor",IF(Table1[[#This Row],[WorkLifeBalance]]=2,"Fair",IF(Table1[[#This Row],[WorkLifeBalance]]=3,"Good","Excellent")))</f>
        <v>Good</v>
      </c>
    </row>
    <row r="56" spans="1:37" x14ac:dyDescent="0.3">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c r="AJ56" t="str">
        <f>IF(Table1[[#This Row],[Column1]]&lt;=30,"18-30",IF(Table1[[#This Row],[Column1]]&lt;=50,"31-50","51+"))</f>
        <v>18-30</v>
      </c>
      <c r="AK56" t="str">
        <f>IF(Table1[[#This Row],[WorkLifeBalance]]=1,"Poor",IF(Table1[[#This Row],[WorkLifeBalance]]=2,"Fair",IF(Table1[[#This Row],[WorkLifeBalance]]=3,"Good","Excellent")))</f>
        <v>Fair</v>
      </c>
    </row>
    <row r="57" spans="1:37" x14ac:dyDescent="0.3">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c r="AJ57" t="str">
        <f>IF(Table1[[#This Row],[Column1]]&lt;=30,"18-30",IF(Table1[[#This Row],[Column1]]&lt;=50,"31-50","51+"))</f>
        <v>31-50</v>
      </c>
      <c r="AK57" t="str">
        <f>IF(Table1[[#This Row],[WorkLifeBalance]]=1,"Poor",IF(Table1[[#This Row],[WorkLifeBalance]]=2,"Fair",IF(Table1[[#This Row],[WorkLifeBalance]]=3,"Good","Excellent")))</f>
        <v>Good</v>
      </c>
    </row>
    <row r="58" spans="1:37" x14ac:dyDescent="0.3">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c r="AJ58" t="str">
        <f>IF(Table1[[#This Row],[Column1]]&lt;=30,"18-30",IF(Table1[[#This Row],[Column1]]&lt;=50,"31-50","51+"))</f>
        <v>31-50</v>
      </c>
      <c r="AK58" t="str">
        <f>IF(Table1[[#This Row],[WorkLifeBalance]]=1,"Poor",IF(Table1[[#This Row],[WorkLifeBalance]]=2,"Fair",IF(Table1[[#This Row],[WorkLifeBalance]]=3,"Good","Excellent")))</f>
        <v>Fair</v>
      </c>
    </row>
    <row r="59" spans="1:37" x14ac:dyDescent="0.3">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c r="AJ59" t="str">
        <f>IF(Table1[[#This Row],[Column1]]&lt;=30,"18-30",IF(Table1[[#This Row],[Column1]]&lt;=50,"31-50","51+"))</f>
        <v>31-50</v>
      </c>
      <c r="AK59" t="str">
        <f>IF(Table1[[#This Row],[WorkLifeBalance]]=1,"Poor",IF(Table1[[#This Row],[WorkLifeBalance]]=2,"Fair",IF(Table1[[#This Row],[WorkLifeBalance]]=3,"Good","Excellent")))</f>
        <v>Good</v>
      </c>
    </row>
    <row r="60" spans="1:37" x14ac:dyDescent="0.3">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c r="AJ60" t="str">
        <f>IF(Table1[[#This Row],[Column1]]&lt;=30,"18-30",IF(Table1[[#This Row],[Column1]]&lt;=50,"31-50","51+"))</f>
        <v>31-50</v>
      </c>
      <c r="AK60" t="str">
        <f>IF(Table1[[#This Row],[WorkLifeBalance]]=1,"Poor",IF(Table1[[#This Row],[WorkLifeBalance]]=2,"Fair",IF(Table1[[#This Row],[WorkLifeBalance]]=3,"Good","Excellent")))</f>
        <v>Fair</v>
      </c>
    </row>
    <row r="61" spans="1:37" x14ac:dyDescent="0.3">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c r="AJ61" t="str">
        <f>IF(Table1[[#This Row],[Column1]]&lt;=30,"18-30",IF(Table1[[#This Row],[Column1]]&lt;=50,"31-50","51+"))</f>
        <v>31-50</v>
      </c>
      <c r="AK61" t="str">
        <f>IF(Table1[[#This Row],[WorkLifeBalance]]=1,"Poor",IF(Table1[[#This Row],[WorkLifeBalance]]=2,"Fair",IF(Table1[[#This Row],[WorkLifeBalance]]=3,"Good","Excellent")))</f>
        <v>Excellent</v>
      </c>
    </row>
    <row r="62" spans="1:37" x14ac:dyDescent="0.3">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c r="AJ62" t="str">
        <f>IF(Table1[[#This Row],[Column1]]&lt;=30,"18-30",IF(Table1[[#This Row],[Column1]]&lt;=50,"31-50","51+"))</f>
        <v>31-50</v>
      </c>
      <c r="AK62" t="str">
        <f>IF(Table1[[#This Row],[WorkLifeBalance]]=1,"Poor",IF(Table1[[#This Row],[WorkLifeBalance]]=2,"Fair",IF(Table1[[#This Row],[WorkLifeBalance]]=3,"Good","Excellent")))</f>
        <v>Good</v>
      </c>
    </row>
    <row r="63" spans="1:37" x14ac:dyDescent="0.3">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c r="AJ63" t="str">
        <f>IF(Table1[[#This Row],[Column1]]&lt;=30,"18-30",IF(Table1[[#This Row],[Column1]]&lt;=50,"31-50","51+"))</f>
        <v>31-50</v>
      </c>
      <c r="AK63" t="str">
        <f>IF(Table1[[#This Row],[WorkLifeBalance]]=1,"Poor",IF(Table1[[#This Row],[WorkLifeBalance]]=2,"Fair",IF(Table1[[#This Row],[WorkLifeBalance]]=3,"Good","Excellent")))</f>
        <v>Good</v>
      </c>
    </row>
    <row r="64" spans="1:37" x14ac:dyDescent="0.3">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c r="AJ64" t="str">
        <f>IF(Table1[[#This Row],[Column1]]&lt;=30,"18-30",IF(Table1[[#This Row],[Column1]]&lt;=50,"31-50","51+"))</f>
        <v>31-50</v>
      </c>
      <c r="AK64" t="str">
        <f>IF(Table1[[#This Row],[WorkLifeBalance]]=1,"Poor",IF(Table1[[#This Row],[WorkLifeBalance]]=2,"Fair",IF(Table1[[#This Row],[WorkLifeBalance]]=3,"Good","Excellent")))</f>
        <v>Fair</v>
      </c>
    </row>
    <row r="65" spans="1:37" x14ac:dyDescent="0.3">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c r="AJ65" t="str">
        <f>IF(Table1[[#This Row],[Column1]]&lt;=30,"18-30",IF(Table1[[#This Row],[Column1]]&lt;=50,"31-50","51+"))</f>
        <v>51+</v>
      </c>
      <c r="AK65" t="str">
        <f>IF(Table1[[#This Row],[WorkLifeBalance]]=1,"Poor",IF(Table1[[#This Row],[WorkLifeBalance]]=2,"Fair",IF(Table1[[#This Row],[WorkLifeBalance]]=3,"Good","Excellent")))</f>
        <v>Fair</v>
      </c>
    </row>
    <row r="66" spans="1:37" x14ac:dyDescent="0.3">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c r="AJ66" t="str">
        <f>IF(Table1[[#This Row],[Column1]]&lt;=30,"18-30",IF(Table1[[#This Row],[Column1]]&lt;=50,"31-50","51+"))</f>
        <v>31-50</v>
      </c>
      <c r="AK66" t="str">
        <f>IF(Table1[[#This Row],[WorkLifeBalance]]=1,"Poor",IF(Table1[[#This Row],[WorkLifeBalance]]=2,"Fair",IF(Table1[[#This Row],[WorkLifeBalance]]=3,"Good","Excellent")))</f>
        <v>Good</v>
      </c>
    </row>
    <row r="67" spans="1:37" x14ac:dyDescent="0.3">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c r="AJ67" t="str">
        <f>IF(Table1[[#This Row],[Column1]]&lt;=30,"18-30",IF(Table1[[#This Row],[Column1]]&lt;=50,"31-50","51+"))</f>
        <v>51+</v>
      </c>
      <c r="AK67" t="str">
        <f>IF(Table1[[#This Row],[WorkLifeBalance]]=1,"Poor",IF(Table1[[#This Row],[WorkLifeBalance]]=2,"Fair",IF(Table1[[#This Row],[WorkLifeBalance]]=3,"Good","Excellent")))</f>
        <v>Good</v>
      </c>
    </row>
    <row r="68" spans="1:37" x14ac:dyDescent="0.3">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c r="AJ68" t="str">
        <f>IF(Table1[[#This Row],[Column1]]&lt;=30,"18-30",IF(Table1[[#This Row],[Column1]]&lt;=50,"31-50","51+"))</f>
        <v>31-50</v>
      </c>
      <c r="AK68" t="str">
        <f>IF(Table1[[#This Row],[WorkLifeBalance]]=1,"Poor",IF(Table1[[#This Row],[WorkLifeBalance]]=2,"Fair",IF(Table1[[#This Row],[WorkLifeBalance]]=3,"Good","Excellent")))</f>
        <v>Good</v>
      </c>
    </row>
    <row r="69" spans="1:37" x14ac:dyDescent="0.3">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c r="AJ69" t="str">
        <f>IF(Table1[[#This Row],[Column1]]&lt;=30,"18-30",IF(Table1[[#This Row],[Column1]]&lt;=50,"31-50","51+"))</f>
        <v>31-50</v>
      </c>
      <c r="AK69" t="str">
        <f>IF(Table1[[#This Row],[WorkLifeBalance]]=1,"Poor",IF(Table1[[#This Row],[WorkLifeBalance]]=2,"Fair",IF(Table1[[#This Row],[WorkLifeBalance]]=3,"Good","Excellent")))</f>
        <v>Good</v>
      </c>
    </row>
    <row r="70" spans="1:37" x14ac:dyDescent="0.3">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c r="AJ70" t="str">
        <f>IF(Table1[[#This Row],[Column1]]&lt;=30,"18-30",IF(Table1[[#This Row],[Column1]]&lt;=50,"31-50","51+"))</f>
        <v>31-50</v>
      </c>
      <c r="AK70" t="str">
        <f>IF(Table1[[#This Row],[WorkLifeBalance]]=1,"Poor",IF(Table1[[#This Row],[WorkLifeBalance]]=2,"Fair",IF(Table1[[#This Row],[WorkLifeBalance]]=3,"Good","Excellent")))</f>
        <v>Fair</v>
      </c>
    </row>
    <row r="71" spans="1:37" x14ac:dyDescent="0.3">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c r="AJ71" t="str">
        <f>IF(Table1[[#This Row],[Column1]]&lt;=30,"18-30",IF(Table1[[#This Row],[Column1]]&lt;=50,"31-50","51+"))</f>
        <v>31-50</v>
      </c>
      <c r="AK71" t="str">
        <f>IF(Table1[[#This Row],[WorkLifeBalance]]=1,"Poor",IF(Table1[[#This Row],[WorkLifeBalance]]=2,"Fair",IF(Table1[[#This Row],[WorkLifeBalance]]=3,"Good","Excellent")))</f>
        <v>Fair</v>
      </c>
    </row>
    <row r="72" spans="1:37" x14ac:dyDescent="0.3">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c r="AJ72" t="str">
        <f>IF(Table1[[#This Row],[Column1]]&lt;=30,"18-30",IF(Table1[[#This Row],[Column1]]&lt;=50,"31-50","51+"))</f>
        <v>51+</v>
      </c>
      <c r="AK72" t="str">
        <f>IF(Table1[[#This Row],[WorkLifeBalance]]=1,"Poor",IF(Table1[[#This Row],[WorkLifeBalance]]=2,"Fair",IF(Table1[[#This Row],[WorkLifeBalance]]=3,"Good","Excellent")))</f>
        <v>Fair</v>
      </c>
    </row>
    <row r="73" spans="1:37" x14ac:dyDescent="0.3">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c r="AJ73" t="str">
        <f>IF(Table1[[#This Row],[Column1]]&lt;=30,"18-30",IF(Table1[[#This Row],[Column1]]&lt;=50,"31-50","51+"))</f>
        <v>18-30</v>
      </c>
      <c r="AK73" t="str">
        <f>IF(Table1[[#This Row],[WorkLifeBalance]]=1,"Poor",IF(Table1[[#This Row],[WorkLifeBalance]]=2,"Fair",IF(Table1[[#This Row],[WorkLifeBalance]]=3,"Good","Excellent")))</f>
        <v>Good</v>
      </c>
    </row>
    <row r="74" spans="1:37" x14ac:dyDescent="0.3">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c r="AJ74" t="str">
        <f>IF(Table1[[#This Row],[Column1]]&lt;=30,"18-30",IF(Table1[[#This Row],[Column1]]&lt;=50,"31-50","51+"))</f>
        <v>31-50</v>
      </c>
      <c r="AK74" t="str">
        <f>IF(Table1[[#This Row],[WorkLifeBalance]]=1,"Poor",IF(Table1[[#This Row],[WorkLifeBalance]]=2,"Fair",IF(Table1[[#This Row],[WorkLifeBalance]]=3,"Good","Excellent")))</f>
        <v>Good</v>
      </c>
    </row>
    <row r="75" spans="1:37" x14ac:dyDescent="0.3">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c r="AJ75" t="str">
        <f>IF(Table1[[#This Row],[Column1]]&lt;=30,"18-30",IF(Table1[[#This Row],[Column1]]&lt;=50,"31-50","51+"))</f>
        <v>31-50</v>
      </c>
      <c r="AK75" t="str">
        <f>IF(Table1[[#This Row],[WorkLifeBalance]]=1,"Poor",IF(Table1[[#This Row],[WorkLifeBalance]]=2,"Fair",IF(Table1[[#This Row],[WorkLifeBalance]]=3,"Good","Excellent")))</f>
        <v>Good</v>
      </c>
    </row>
    <row r="76" spans="1:37" x14ac:dyDescent="0.3">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c r="AJ76" t="str">
        <f>IF(Table1[[#This Row],[Column1]]&lt;=30,"18-30",IF(Table1[[#This Row],[Column1]]&lt;=50,"31-50","51+"))</f>
        <v>31-50</v>
      </c>
      <c r="AK76" t="str">
        <f>IF(Table1[[#This Row],[WorkLifeBalance]]=1,"Poor",IF(Table1[[#This Row],[WorkLifeBalance]]=2,"Fair",IF(Table1[[#This Row],[WorkLifeBalance]]=3,"Good","Excellent")))</f>
        <v>Good</v>
      </c>
    </row>
    <row r="77" spans="1:37" x14ac:dyDescent="0.3">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c r="AJ77" t="str">
        <f>IF(Table1[[#This Row],[Column1]]&lt;=30,"18-30",IF(Table1[[#This Row],[Column1]]&lt;=50,"31-50","51+"))</f>
        <v>31-50</v>
      </c>
      <c r="AK77" t="str">
        <f>IF(Table1[[#This Row],[WorkLifeBalance]]=1,"Poor",IF(Table1[[#This Row],[WorkLifeBalance]]=2,"Fair",IF(Table1[[#This Row],[WorkLifeBalance]]=3,"Good","Excellent")))</f>
        <v>Good</v>
      </c>
    </row>
    <row r="78" spans="1:37" x14ac:dyDescent="0.3">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c r="AJ78" t="str">
        <f>IF(Table1[[#This Row],[Column1]]&lt;=30,"18-30",IF(Table1[[#This Row],[Column1]]&lt;=50,"31-50","51+"))</f>
        <v>31-50</v>
      </c>
      <c r="AK78" t="str">
        <f>IF(Table1[[#This Row],[WorkLifeBalance]]=1,"Poor",IF(Table1[[#This Row],[WorkLifeBalance]]=2,"Fair",IF(Table1[[#This Row],[WorkLifeBalance]]=3,"Good","Excellent")))</f>
        <v>Good</v>
      </c>
    </row>
    <row r="79" spans="1:37" x14ac:dyDescent="0.3">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c r="AJ79" t="str">
        <f>IF(Table1[[#This Row],[Column1]]&lt;=30,"18-30",IF(Table1[[#This Row],[Column1]]&lt;=50,"31-50","51+"))</f>
        <v>31-50</v>
      </c>
      <c r="AK79" t="str">
        <f>IF(Table1[[#This Row],[WorkLifeBalance]]=1,"Poor",IF(Table1[[#This Row],[WorkLifeBalance]]=2,"Fair",IF(Table1[[#This Row],[WorkLifeBalance]]=3,"Good","Excellent")))</f>
        <v>Excellent</v>
      </c>
    </row>
    <row r="80" spans="1:37" x14ac:dyDescent="0.3">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c r="AJ80" t="str">
        <f>IF(Table1[[#This Row],[Column1]]&lt;=30,"18-30",IF(Table1[[#This Row],[Column1]]&lt;=50,"31-50","51+"))</f>
        <v>31-50</v>
      </c>
      <c r="AK80" t="str">
        <f>IF(Table1[[#This Row],[WorkLifeBalance]]=1,"Poor",IF(Table1[[#This Row],[WorkLifeBalance]]=2,"Fair",IF(Table1[[#This Row],[WorkLifeBalance]]=3,"Good","Excellent")))</f>
        <v>Excellent</v>
      </c>
    </row>
    <row r="81" spans="1:37" x14ac:dyDescent="0.3">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c r="AJ81" t="str">
        <f>IF(Table1[[#This Row],[Column1]]&lt;=30,"18-30",IF(Table1[[#This Row],[Column1]]&lt;=50,"31-50","51+"))</f>
        <v>31-50</v>
      </c>
      <c r="AK81" t="str">
        <f>IF(Table1[[#This Row],[WorkLifeBalance]]=1,"Poor",IF(Table1[[#This Row],[WorkLifeBalance]]=2,"Fair",IF(Table1[[#This Row],[WorkLifeBalance]]=3,"Good","Excellent")))</f>
        <v>Good</v>
      </c>
    </row>
    <row r="82" spans="1:37" x14ac:dyDescent="0.3">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c r="AJ82" t="str">
        <f>IF(Table1[[#This Row],[Column1]]&lt;=30,"18-30",IF(Table1[[#This Row],[Column1]]&lt;=50,"31-50","51+"))</f>
        <v>18-30</v>
      </c>
      <c r="AK82" t="str">
        <f>IF(Table1[[#This Row],[WorkLifeBalance]]=1,"Poor",IF(Table1[[#This Row],[WorkLifeBalance]]=2,"Fair",IF(Table1[[#This Row],[WorkLifeBalance]]=3,"Good","Excellent")))</f>
        <v>Fair</v>
      </c>
    </row>
    <row r="83" spans="1:37" x14ac:dyDescent="0.3">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c r="AJ83" t="str">
        <f>IF(Table1[[#This Row],[Column1]]&lt;=30,"18-30",IF(Table1[[#This Row],[Column1]]&lt;=50,"31-50","51+"))</f>
        <v>31-50</v>
      </c>
      <c r="AK83" t="str">
        <f>IF(Table1[[#This Row],[WorkLifeBalance]]=1,"Poor",IF(Table1[[#This Row],[WorkLifeBalance]]=2,"Fair",IF(Table1[[#This Row],[WorkLifeBalance]]=3,"Good","Excellent")))</f>
        <v>Good</v>
      </c>
    </row>
    <row r="84" spans="1:37" x14ac:dyDescent="0.3">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c r="AJ84" t="str">
        <f>IF(Table1[[#This Row],[Column1]]&lt;=30,"18-30",IF(Table1[[#This Row],[Column1]]&lt;=50,"31-50","51+"))</f>
        <v>51+</v>
      </c>
      <c r="AK84" t="str">
        <f>IF(Table1[[#This Row],[WorkLifeBalance]]=1,"Poor",IF(Table1[[#This Row],[WorkLifeBalance]]=2,"Fair",IF(Table1[[#This Row],[WorkLifeBalance]]=3,"Good","Excellent")))</f>
        <v>Good</v>
      </c>
    </row>
    <row r="85" spans="1:37" x14ac:dyDescent="0.3">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c r="AJ85" t="str">
        <f>IF(Table1[[#This Row],[Column1]]&lt;=30,"18-30",IF(Table1[[#This Row],[Column1]]&lt;=50,"31-50","51+"))</f>
        <v>31-50</v>
      </c>
      <c r="AK85" t="str">
        <f>IF(Table1[[#This Row],[WorkLifeBalance]]=1,"Poor",IF(Table1[[#This Row],[WorkLifeBalance]]=2,"Fair",IF(Table1[[#This Row],[WorkLifeBalance]]=3,"Good","Excellent")))</f>
        <v>Good</v>
      </c>
    </row>
    <row r="86" spans="1:37" x14ac:dyDescent="0.3">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c r="AJ86" t="str">
        <f>IF(Table1[[#This Row],[Column1]]&lt;=30,"18-30",IF(Table1[[#This Row],[Column1]]&lt;=50,"31-50","51+"))</f>
        <v>31-50</v>
      </c>
      <c r="AK86" t="str">
        <f>IF(Table1[[#This Row],[WorkLifeBalance]]=1,"Poor",IF(Table1[[#This Row],[WorkLifeBalance]]=2,"Fair",IF(Table1[[#This Row],[WorkLifeBalance]]=3,"Good","Excellent")))</f>
        <v>Good</v>
      </c>
    </row>
    <row r="87" spans="1:37" x14ac:dyDescent="0.3">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c r="AJ87" t="str">
        <f>IF(Table1[[#This Row],[Column1]]&lt;=30,"18-30",IF(Table1[[#This Row],[Column1]]&lt;=50,"31-50","51+"))</f>
        <v>51+</v>
      </c>
      <c r="AK87" t="str">
        <f>IF(Table1[[#This Row],[WorkLifeBalance]]=1,"Poor",IF(Table1[[#This Row],[WorkLifeBalance]]=2,"Fair",IF(Table1[[#This Row],[WorkLifeBalance]]=3,"Good","Excellent")))</f>
        <v>Fair</v>
      </c>
    </row>
    <row r="88" spans="1:37" x14ac:dyDescent="0.3">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c r="AJ88" t="str">
        <f>IF(Table1[[#This Row],[Column1]]&lt;=30,"18-30",IF(Table1[[#This Row],[Column1]]&lt;=50,"31-50","51+"))</f>
        <v>18-30</v>
      </c>
      <c r="AK88" t="str">
        <f>IF(Table1[[#This Row],[WorkLifeBalance]]=1,"Poor",IF(Table1[[#This Row],[WorkLifeBalance]]=2,"Fair",IF(Table1[[#This Row],[WorkLifeBalance]]=3,"Good","Excellent")))</f>
        <v>Good</v>
      </c>
    </row>
    <row r="89" spans="1:37" x14ac:dyDescent="0.3">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c r="AJ89" t="str">
        <f>IF(Table1[[#This Row],[Column1]]&lt;=30,"18-30",IF(Table1[[#This Row],[Column1]]&lt;=50,"31-50","51+"))</f>
        <v>51+</v>
      </c>
      <c r="AK89" t="str">
        <f>IF(Table1[[#This Row],[WorkLifeBalance]]=1,"Poor",IF(Table1[[#This Row],[WorkLifeBalance]]=2,"Fair",IF(Table1[[#This Row],[WorkLifeBalance]]=3,"Good","Excellent")))</f>
        <v>Good</v>
      </c>
    </row>
    <row r="90" spans="1:37" x14ac:dyDescent="0.3">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c r="AJ90" t="str">
        <f>IF(Table1[[#This Row],[Column1]]&lt;=30,"18-30",IF(Table1[[#This Row],[Column1]]&lt;=50,"31-50","51+"))</f>
        <v>18-30</v>
      </c>
      <c r="AK90" t="str">
        <f>IF(Table1[[#This Row],[WorkLifeBalance]]=1,"Poor",IF(Table1[[#This Row],[WorkLifeBalance]]=2,"Fair",IF(Table1[[#This Row],[WorkLifeBalance]]=3,"Good","Excellent")))</f>
        <v>Good</v>
      </c>
    </row>
    <row r="91" spans="1:37" x14ac:dyDescent="0.3">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c r="AJ91" t="str">
        <f>IF(Table1[[#This Row],[Column1]]&lt;=30,"18-30",IF(Table1[[#This Row],[Column1]]&lt;=50,"31-50","51+"))</f>
        <v>31-50</v>
      </c>
      <c r="AK91" t="str">
        <f>IF(Table1[[#This Row],[WorkLifeBalance]]=1,"Poor",IF(Table1[[#This Row],[WorkLifeBalance]]=2,"Fair",IF(Table1[[#This Row],[WorkLifeBalance]]=3,"Good","Excellent")))</f>
        <v>Good</v>
      </c>
    </row>
    <row r="92" spans="1:37" x14ac:dyDescent="0.3">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c r="AJ92" t="str">
        <f>IF(Table1[[#This Row],[Column1]]&lt;=30,"18-30",IF(Table1[[#This Row],[Column1]]&lt;=50,"31-50","51+"))</f>
        <v>31-50</v>
      </c>
      <c r="AK92" t="str">
        <f>IF(Table1[[#This Row],[WorkLifeBalance]]=1,"Poor",IF(Table1[[#This Row],[WorkLifeBalance]]=2,"Fair",IF(Table1[[#This Row],[WorkLifeBalance]]=3,"Good","Excellent")))</f>
        <v>Fair</v>
      </c>
    </row>
    <row r="93" spans="1:37" x14ac:dyDescent="0.3">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c r="AJ93" t="str">
        <f>IF(Table1[[#This Row],[Column1]]&lt;=30,"18-30",IF(Table1[[#This Row],[Column1]]&lt;=50,"31-50","51+"))</f>
        <v>51+</v>
      </c>
      <c r="AK93" t="str">
        <f>IF(Table1[[#This Row],[WorkLifeBalance]]=1,"Poor",IF(Table1[[#This Row],[WorkLifeBalance]]=2,"Fair",IF(Table1[[#This Row],[WorkLifeBalance]]=3,"Good","Excellent")))</f>
        <v>Poor</v>
      </c>
    </row>
    <row r="94" spans="1:37" x14ac:dyDescent="0.3">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c r="AJ94" t="str">
        <f>IF(Table1[[#This Row],[Column1]]&lt;=30,"18-30",IF(Table1[[#This Row],[Column1]]&lt;=50,"31-50","51+"))</f>
        <v>18-30</v>
      </c>
      <c r="AK94" t="str">
        <f>IF(Table1[[#This Row],[WorkLifeBalance]]=1,"Poor",IF(Table1[[#This Row],[WorkLifeBalance]]=2,"Fair",IF(Table1[[#This Row],[WorkLifeBalance]]=3,"Good","Excellent")))</f>
        <v>Fair</v>
      </c>
    </row>
    <row r="95" spans="1:37" x14ac:dyDescent="0.3">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c r="AJ95" t="str">
        <f>IF(Table1[[#This Row],[Column1]]&lt;=30,"18-30",IF(Table1[[#This Row],[Column1]]&lt;=50,"31-50","51+"))</f>
        <v>31-50</v>
      </c>
      <c r="AK95" t="str">
        <f>IF(Table1[[#This Row],[WorkLifeBalance]]=1,"Poor",IF(Table1[[#This Row],[WorkLifeBalance]]=2,"Fair",IF(Table1[[#This Row],[WorkLifeBalance]]=3,"Good","Excellent")))</f>
        <v>Fair</v>
      </c>
    </row>
    <row r="96" spans="1:37" x14ac:dyDescent="0.3">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c r="AJ96" t="str">
        <f>IF(Table1[[#This Row],[Column1]]&lt;=30,"18-30",IF(Table1[[#This Row],[Column1]]&lt;=50,"31-50","51+"))</f>
        <v>31-50</v>
      </c>
      <c r="AK96" t="str">
        <f>IF(Table1[[#This Row],[WorkLifeBalance]]=1,"Poor",IF(Table1[[#This Row],[WorkLifeBalance]]=2,"Fair",IF(Table1[[#This Row],[WorkLifeBalance]]=3,"Good","Excellent")))</f>
        <v>Good</v>
      </c>
    </row>
    <row r="97" spans="1:37" x14ac:dyDescent="0.3">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c r="AJ97" t="str">
        <f>IF(Table1[[#This Row],[Column1]]&lt;=30,"18-30",IF(Table1[[#This Row],[Column1]]&lt;=50,"31-50","51+"))</f>
        <v>51+</v>
      </c>
      <c r="AK97" t="str">
        <f>IF(Table1[[#This Row],[WorkLifeBalance]]=1,"Poor",IF(Table1[[#This Row],[WorkLifeBalance]]=2,"Fair",IF(Table1[[#This Row],[WorkLifeBalance]]=3,"Good","Excellent")))</f>
        <v>Poor</v>
      </c>
    </row>
    <row r="98" spans="1:37" x14ac:dyDescent="0.3">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c r="AJ98" t="str">
        <f>IF(Table1[[#This Row],[Column1]]&lt;=30,"18-30",IF(Table1[[#This Row],[Column1]]&lt;=50,"31-50","51+"))</f>
        <v>18-30</v>
      </c>
      <c r="AK98" t="str">
        <f>IF(Table1[[#This Row],[WorkLifeBalance]]=1,"Poor",IF(Table1[[#This Row],[WorkLifeBalance]]=2,"Fair",IF(Table1[[#This Row],[WorkLifeBalance]]=3,"Good","Excellent")))</f>
        <v>Fair</v>
      </c>
    </row>
    <row r="99" spans="1:37" x14ac:dyDescent="0.3">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c r="AJ99" t="str">
        <f>IF(Table1[[#This Row],[Column1]]&lt;=30,"18-30",IF(Table1[[#This Row],[Column1]]&lt;=50,"31-50","51+"))</f>
        <v>18-30</v>
      </c>
      <c r="AK99" t="str">
        <f>IF(Table1[[#This Row],[WorkLifeBalance]]=1,"Poor",IF(Table1[[#This Row],[WorkLifeBalance]]=2,"Fair",IF(Table1[[#This Row],[WorkLifeBalance]]=3,"Good","Excellent")))</f>
        <v>Excellent</v>
      </c>
    </row>
    <row r="100" spans="1:37" x14ac:dyDescent="0.3">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c r="AJ100" t="str">
        <f>IF(Table1[[#This Row],[Column1]]&lt;=30,"18-30",IF(Table1[[#This Row],[Column1]]&lt;=50,"31-50","51+"))</f>
        <v>51+</v>
      </c>
      <c r="AK100" t="str">
        <f>IF(Table1[[#This Row],[WorkLifeBalance]]=1,"Poor",IF(Table1[[#This Row],[WorkLifeBalance]]=2,"Fair",IF(Table1[[#This Row],[WorkLifeBalance]]=3,"Good","Excellent")))</f>
        <v>Fair</v>
      </c>
    </row>
    <row r="101" spans="1:37" x14ac:dyDescent="0.3">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c r="AJ101" t="str">
        <f>IF(Table1[[#This Row],[Column1]]&lt;=30,"18-30",IF(Table1[[#This Row],[Column1]]&lt;=50,"31-50","51+"))</f>
        <v>31-50</v>
      </c>
      <c r="AK101" t="str">
        <f>IF(Table1[[#This Row],[WorkLifeBalance]]=1,"Poor",IF(Table1[[#This Row],[WorkLifeBalance]]=2,"Fair",IF(Table1[[#This Row],[WorkLifeBalance]]=3,"Good","Excellent")))</f>
        <v>Excellent</v>
      </c>
    </row>
    <row r="102" spans="1:37" x14ac:dyDescent="0.3">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c r="AJ102" t="str">
        <f>IF(Table1[[#This Row],[Column1]]&lt;=30,"18-30",IF(Table1[[#This Row],[Column1]]&lt;=50,"31-50","51+"))</f>
        <v>31-50</v>
      </c>
      <c r="AK102" t="str">
        <f>IF(Table1[[#This Row],[WorkLifeBalance]]=1,"Poor",IF(Table1[[#This Row],[WorkLifeBalance]]=2,"Fair",IF(Table1[[#This Row],[WorkLifeBalance]]=3,"Good","Excellent")))</f>
        <v>Good</v>
      </c>
    </row>
    <row r="103" spans="1:37" x14ac:dyDescent="0.3">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c r="AJ103" t="str">
        <f>IF(Table1[[#This Row],[Column1]]&lt;=30,"18-30",IF(Table1[[#This Row],[Column1]]&lt;=50,"31-50","51+"))</f>
        <v>31-50</v>
      </c>
      <c r="AK103" t="str">
        <f>IF(Table1[[#This Row],[WorkLifeBalance]]=1,"Poor",IF(Table1[[#This Row],[WorkLifeBalance]]=2,"Fair",IF(Table1[[#This Row],[WorkLifeBalance]]=3,"Good","Excellent")))</f>
        <v>Good</v>
      </c>
    </row>
    <row r="104" spans="1:37" x14ac:dyDescent="0.3">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c r="AJ104" t="str">
        <f>IF(Table1[[#This Row],[Column1]]&lt;=30,"18-30",IF(Table1[[#This Row],[Column1]]&lt;=50,"31-50","51+"))</f>
        <v>18-30</v>
      </c>
      <c r="AK104" t="str">
        <f>IF(Table1[[#This Row],[WorkLifeBalance]]=1,"Poor",IF(Table1[[#This Row],[WorkLifeBalance]]=2,"Fair",IF(Table1[[#This Row],[WorkLifeBalance]]=3,"Good","Excellent")))</f>
        <v>Good</v>
      </c>
    </row>
    <row r="105" spans="1:37" x14ac:dyDescent="0.3">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c r="AJ105" t="str">
        <f>IF(Table1[[#This Row],[Column1]]&lt;=30,"18-30",IF(Table1[[#This Row],[Column1]]&lt;=50,"31-50","51+"))</f>
        <v>31-50</v>
      </c>
      <c r="AK105" t="str">
        <f>IF(Table1[[#This Row],[WorkLifeBalance]]=1,"Poor",IF(Table1[[#This Row],[WorkLifeBalance]]=2,"Fair",IF(Table1[[#This Row],[WorkLifeBalance]]=3,"Good","Excellent")))</f>
        <v>Good</v>
      </c>
    </row>
    <row r="106" spans="1:37" x14ac:dyDescent="0.3">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c r="AJ106" t="str">
        <f>IF(Table1[[#This Row],[Column1]]&lt;=30,"18-30",IF(Table1[[#This Row],[Column1]]&lt;=50,"31-50","51+"))</f>
        <v>31-50</v>
      </c>
      <c r="AK106" t="str">
        <f>IF(Table1[[#This Row],[WorkLifeBalance]]=1,"Poor",IF(Table1[[#This Row],[WorkLifeBalance]]=2,"Fair",IF(Table1[[#This Row],[WorkLifeBalance]]=3,"Good","Excellent")))</f>
        <v>Excellent</v>
      </c>
    </row>
    <row r="107" spans="1:37" x14ac:dyDescent="0.3">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c r="AJ107" t="str">
        <f>IF(Table1[[#This Row],[Column1]]&lt;=30,"18-30",IF(Table1[[#This Row],[Column1]]&lt;=50,"31-50","51+"))</f>
        <v>51+</v>
      </c>
      <c r="AK107" t="str">
        <f>IF(Table1[[#This Row],[WorkLifeBalance]]=1,"Poor",IF(Table1[[#This Row],[WorkLifeBalance]]=2,"Fair",IF(Table1[[#This Row],[WorkLifeBalance]]=3,"Good","Excellent")))</f>
        <v>Good</v>
      </c>
    </row>
    <row r="108" spans="1:37" x14ac:dyDescent="0.3">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c r="AJ108" t="str">
        <f>IF(Table1[[#This Row],[Column1]]&lt;=30,"18-30",IF(Table1[[#This Row],[Column1]]&lt;=50,"31-50","51+"))</f>
        <v>31-50</v>
      </c>
      <c r="AK108" t="str">
        <f>IF(Table1[[#This Row],[WorkLifeBalance]]=1,"Poor",IF(Table1[[#This Row],[WorkLifeBalance]]=2,"Fair",IF(Table1[[#This Row],[WorkLifeBalance]]=3,"Good","Excellent")))</f>
        <v>Fair</v>
      </c>
    </row>
    <row r="109" spans="1:37" x14ac:dyDescent="0.3">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c r="AJ109" t="str">
        <f>IF(Table1[[#This Row],[Column1]]&lt;=30,"18-30",IF(Table1[[#This Row],[Column1]]&lt;=50,"31-50","51+"))</f>
        <v>18-30</v>
      </c>
      <c r="AK109" t="str">
        <f>IF(Table1[[#This Row],[WorkLifeBalance]]=1,"Poor",IF(Table1[[#This Row],[WorkLifeBalance]]=2,"Fair",IF(Table1[[#This Row],[WorkLifeBalance]]=3,"Good","Excellent")))</f>
        <v>Good</v>
      </c>
    </row>
    <row r="110" spans="1:37" x14ac:dyDescent="0.3">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c r="AJ110" t="str">
        <f>IF(Table1[[#This Row],[Column1]]&lt;=30,"18-30",IF(Table1[[#This Row],[Column1]]&lt;=50,"31-50","51+"))</f>
        <v>18-30</v>
      </c>
      <c r="AK110" t="str">
        <f>IF(Table1[[#This Row],[WorkLifeBalance]]=1,"Poor",IF(Table1[[#This Row],[WorkLifeBalance]]=2,"Fair",IF(Table1[[#This Row],[WorkLifeBalance]]=3,"Good","Excellent")))</f>
        <v>Good</v>
      </c>
    </row>
    <row r="111" spans="1:37" x14ac:dyDescent="0.3">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c r="AJ111" t="str">
        <f>IF(Table1[[#This Row],[Column1]]&lt;=30,"18-30",IF(Table1[[#This Row],[Column1]]&lt;=50,"31-50","51+"))</f>
        <v>18-30</v>
      </c>
      <c r="AK111" t="str">
        <f>IF(Table1[[#This Row],[WorkLifeBalance]]=1,"Poor",IF(Table1[[#This Row],[WorkLifeBalance]]=2,"Fair",IF(Table1[[#This Row],[WorkLifeBalance]]=3,"Good","Excellent")))</f>
        <v>Good</v>
      </c>
    </row>
    <row r="112" spans="1:37" x14ac:dyDescent="0.3">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c r="AJ112" t="str">
        <f>IF(Table1[[#This Row],[Column1]]&lt;=30,"18-30",IF(Table1[[#This Row],[Column1]]&lt;=50,"31-50","51+"))</f>
        <v>51+</v>
      </c>
      <c r="AK112" t="str">
        <f>IF(Table1[[#This Row],[WorkLifeBalance]]=1,"Poor",IF(Table1[[#This Row],[WorkLifeBalance]]=2,"Fair",IF(Table1[[#This Row],[WorkLifeBalance]]=3,"Good","Excellent")))</f>
        <v>Fair</v>
      </c>
    </row>
    <row r="113" spans="1:37" x14ac:dyDescent="0.3">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c r="AJ113" t="str">
        <f>IF(Table1[[#This Row],[Column1]]&lt;=30,"18-30",IF(Table1[[#This Row],[Column1]]&lt;=50,"31-50","51+"))</f>
        <v>31-50</v>
      </c>
      <c r="AK113" t="str">
        <f>IF(Table1[[#This Row],[WorkLifeBalance]]=1,"Poor",IF(Table1[[#This Row],[WorkLifeBalance]]=2,"Fair",IF(Table1[[#This Row],[WorkLifeBalance]]=3,"Good","Excellent")))</f>
        <v>Good</v>
      </c>
    </row>
    <row r="114" spans="1:37" x14ac:dyDescent="0.3">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c r="AJ114" t="str">
        <f>IF(Table1[[#This Row],[Column1]]&lt;=30,"18-30",IF(Table1[[#This Row],[Column1]]&lt;=50,"31-50","51+"))</f>
        <v>51+</v>
      </c>
      <c r="AK114" t="str">
        <f>IF(Table1[[#This Row],[WorkLifeBalance]]=1,"Poor",IF(Table1[[#This Row],[WorkLifeBalance]]=2,"Fair",IF(Table1[[#This Row],[WorkLifeBalance]]=3,"Good","Excellent")))</f>
        <v>Good</v>
      </c>
    </row>
    <row r="115" spans="1:37" x14ac:dyDescent="0.3">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c r="AJ115" t="str">
        <f>IF(Table1[[#This Row],[Column1]]&lt;=30,"18-30",IF(Table1[[#This Row],[Column1]]&lt;=50,"31-50","51+"))</f>
        <v>18-30</v>
      </c>
      <c r="AK115" t="str">
        <f>IF(Table1[[#This Row],[WorkLifeBalance]]=1,"Poor",IF(Table1[[#This Row],[WorkLifeBalance]]=2,"Fair",IF(Table1[[#This Row],[WorkLifeBalance]]=3,"Good","Excellent")))</f>
        <v>Good</v>
      </c>
    </row>
    <row r="116" spans="1:37" x14ac:dyDescent="0.3">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c r="AJ116" t="str">
        <f>IF(Table1[[#This Row],[Column1]]&lt;=30,"18-30",IF(Table1[[#This Row],[Column1]]&lt;=50,"31-50","51+"))</f>
        <v>31-50</v>
      </c>
      <c r="AK116" t="str">
        <f>IF(Table1[[#This Row],[WorkLifeBalance]]=1,"Poor",IF(Table1[[#This Row],[WorkLifeBalance]]=2,"Fair",IF(Table1[[#This Row],[WorkLifeBalance]]=3,"Good","Excellent")))</f>
        <v>Good</v>
      </c>
    </row>
    <row r="117" spans="1:37" x14ac:dyDescent="0.3">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c r="AJ117" t="str">
        <f>IF(Table1[[#This Row],[Column1]]&lt;=30,"18-30",IF(Table1[[#This Row],[Column1]]&lt;=50,"31-50","51+"))</f>
        <v>31-50</v>
      </c>
      <c r="AK117" t="str">
        <f>IF(Table1[[#This Row],[WorkLifeBalance]]=1,"Poor",IF(Table1[[#This Row],[WorkLifeBalance]]=2,"Fair",IF(Table1[[#This Row],[WorkLifeBalance]]=3,"Good","Excellent")))</f>
        <v>Good</v>
      </c>
    </row>
    <row r="118" spans="1:37" x14ac:dyDescent="0.3">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c r="AJ118" t="str">
        <f>IF(Table1[[#This Row],[Column1]]&lt;=30,"18-30",IF(Table1[[#This Row],[Column1]]&lt;=50,"31-50","51+"))</f>
        <v>31-50</v>
      </c>
      <c r="AK118" t="str">
        <f>IF(Table1[[#This Row],[WorkLifeBalance]]=1,"Poor",IF(Table1[[#This Row],[WorkLifeBalance]]=2,"Fair",IF(Table1[[#This Row],[WorkLifeBalance]]=3,"Good","Excellent")))</f>
        <v>Good</v>
      </c>
    </row>
    <row r="119" spans="1:37" x14ac:dyDescent="0.3">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c r="AJ119" t="str">
        <f>IF(Table1[[#This Row],[Column1]]&lt;=30,"18-30",IF(Table1[[#This Row],[Column1]]&lt;=50,"31-50","51+"))</f>
        <v>31-50</v>
      </c>
      <c r="AK119" t="str">
        <f>IF(Table1[[#This Row],[WorkLifeBalance]]=1,"Poor",IF(Table1[[#This Row],[WorkLifeBalance]]=2,"Fair",IF(Table1[[#This Row],[WorkLifeBalance]]=3,"Good","Excellent")))</f>
        <v>Good</v>
      </c>
    </row>
    <row r="120" spans="1:37" x14ac:dyDescent="0.3">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c r="AJ120" t="str">
        <f>IF(Table1[[#This Row],[Column1]]&lt;=30,"18-30",IF(Table1[[#This Row],[Column1]]&lt;=50,"31-50","51+"))</f>
        <v>31-50</v>
      </c>
      <c r="AK120" t="str">
        <f>IF(Table1[[#This Row],[WorkLifeBalance]]=1,"Poor",IF(Table1[[#This Row],[WorkLifeBalance]]=2,"Fair",IF(Table1[[#This Row],[WorkLifeBalance]]=3,"Good","Excellent")))</f>
        <v>Good</v>
      </c>
    </row>
    <row r="121" spans="1:37" x14ac:dyDescent="0.3">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c r="AJ121" t="str">
        <f>IF(Table1[[#This Row],[Column1]]&lt;=30,"18-30",IF(Table1[[#This Row],[Column1]]&lt;=50,"31-50","51+"))</f>
        <v>31-50</v>
      </c>
      <c r="AK121" t="str">
        <f>IF(Table1[[#This Row],[WorkLifeBalance]]=1,"Poor",IF(Table1[[#This Row],[WorkLifeBalance]]=2,"Fair",IF(Table1[[#This Row],[WorkLifeBalance]]=3,"Good","Excellent")))</f>
        <v>Excellent</v>
      </c>
    </row>
    <row r="122" spans="1:37" x14ac:dyDescent="0.3">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c r="AJ122" t="str">
        <f>IF(Table1[[#This Row],[Column1]]&lt;=30,"18-30",IF(Table1[[#This Row],[Column1]]&lt;=50,"31-50","51+"))</f>
        <v>18-30</v>
      </c>
      <c r="AK122" t="str">
        <f>IF(Table1[[#This Row],[WorkLifeBalance]]=1,"Poor",IF(Table1[[#This Row],[WorkLifeBalance]]=2,"Fair",IF(Table1[[#This Row],[WorkLifeBalance]]=3,"Good","Excellent")))</f>
        <v>Fair</v>
      </c>
    </row>
    <row r="123" spans="1:37" x14ac:dyDescent="0.3">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c r="AJ123" t="str">
        <f>IF(Table1[[#This Row],[Column1]]&lt;=30,"18-30",IF(Table1[[#This Row],[Column1]]&lt;=50,"31-50","51+"))</f>
        <v>31-50</v>
      </c>
      <c r="AK123" t="str">
        <f>IF(Table1[[#This Row],[WorkLifeBalance]]=1,"Poor",IF(Table1[[#This Row],[WorkLifeBalance]]=2,"Fair",IF(Table1[[#This Row],[WorkLifeBalance]]=3,"Good","Excellent")))</f>
        <v>Excellent</v>
      </c>
    </row>
    <row r="124" spans="1:37" x14ac:dyDescent="0.3">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c r="AJ124" t="str">
        <f>IF(Table1[[#This Row],[Column1]]&lt;=30,"18-30",IF(Table1[[#This Row],[Column1]]&lt;=50,"31-50","51+"))</f>
        <v>51+</v>
      </c>
      <c r="AK124" t="str">
        <f>IF(Table1[[#This Row],[WorkLifeBalance]]=1,"Poor",IF(Table1[[#This Row],[WorkLifeBalance]]=2,"Fair",IF(Table1[[#This Row],[WorkLifeBalance]]=3,"Good","Excellent")))</f>
        <v>Good</v>
      </c>
    </row>
    <row r="125" spans="1:37" x14ac:dyDescent="0.3">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c r="AJ125" t="str">
        <f>IF(Table1[[#This Row],[Column1]]&lt;=30,"18-30",IF(Table1[[#This Row],[Column1]]&lt;=50,"31-50","51+"))</f>
        <v>51+</v>
      </c>
      <c r="AK125" t="str">
        <f>IF(Table1[[#This Row],[WorkLifeBalance]]=1,"Poor",IF(Table1[[#This Row],[WorkLifeBalance]]=2,"Fair",IF(Table1[[#This Row],[WorkLifeBalance]]=3,"Good","Excellent")))</f>
        <v>Good</v>
      </c>
    </row>
    <row r="126" spans="1:37" x14ac:dyDescent="0.3">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c r="AJ126" t="str">
        <f>IF(Table1[[#This Row],[Column1]]&lt;=30,"18-30",IF(Table1[[#This Row],[Column1]]&lt;=50,"31-50","51+"))</f>
        <v>31-50</v>
      </c>
      <c r="AK126" t="str">
        <f>IF(Table1[[#This Row],[WorkLifeBalance]]=1,"Poor",IF(Table1[[#This Row],[WorkLifeBalance]]=2,"Fair",IF(Table1[[#This Row],[WorkLifeBalance]]=3,"Good","Excellent")))</f>
        <v>Fair</v>
      </c>
    </row>
    <row r="127" spans="1:37" x14ac:dyDescent="0.3">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c r="AJ127" t="str">
        <f>IF(Table1[[#This Row],[Column1]]&lt;=30,"18-30",IF(Table1[[#This Row],[Column1]]&lt;=50,"31-50","51+"))</f>
        <v>18-30</v>
      </c>
      <c r="AK127" t="str">
        <f>IF(Table1[[#This Row],[WorkLifeBalance]]=1,"Poor",IF(Table1[[#This Row],[WorkLifeBalance]]=2,"Fair",IF(Table1[[#This Row],[WorkLifeBalance]]=3,"Good","Excellent")))</f>
        <v>Fair</v>
      </c>
    </row>
    <row r="128" spans="1:37" x14ac:dyDescent="0.3">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c r="AJ128" t="str">
        <f>IF(Table1[[#This Row],[Column1]]&lt;=30,"18-30",IF(Table1[[#This Row],[Column1]]&lt;=50,"31-50","51+"))</f>
        <v>51+</v>
      </c>
      <c r="AK128" t="str">
        <f>IF(Table1[[#This Row],[WorkLifeBalance]]=1,"Poor",IF(Table1[[#This Row],[WorkLifeBalance]]=2,"Fair",IF(Table1[[#This Row],[WorkLifeBalance]]=3,"Good","Excellent")))</f>
        <v>Fair</v>
      </c>
    </row>
    <row r="129" spans="1:37" x14ac:dyDescent="0.3">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c r="AJ129" t="str">
        <f>IF(Table1[[#This Row],[Column1]]&lt;=30,"18-30",IF(Table1[[#This Row],[Column1]]&lt;=50,"31-50","51+"))</f>
        <v>18-30</v>
      </c>
      <c r="AK129" t="str">
        <f>IF(Table1[[#This Row],[WorkLifeBalance]]=1,"Poor",IF(Table1[[#This Row],[WorkLifeBalance]]=2,"Fair",IF(Table1[[#This Row],[WorkLifeBalance]]=3,"Good","Excellent")))</f>
        <v>Fair</v>
      </c>
    </row>
    <row r="130" spans="1:37" x14ac:dyDescent="0.3">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c r="AJ130" t="str">
        <f>IF(Table1[[#This Row],[Column1]]&lt;=30,"18-30",IF(Table1[[#This Row],[Column1]]&lt;=50,"31-50","51+"))</f>
        <v>18-30</v>
      </c>
      <c r="AK130" t="str">
        <f>IF(Table1[[#This Row],[WorkLifeBalance]]=1,"Poor",IF(Table1[[#This Row],[WorkLifeBalance]]=2,"Fair",IF(Table1[[#This Row],[WorkLifeBalance]]=3,"Good","Excellent")))</f>
        <v>Good</v>
      </c>
    </row>
    <row r="131" spans="1:37" x14ac:dyDescent="0.3">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c r="AJ131" t="str">
        <f>IF(Table1[[#This Row],[Column1]]&lt;=30,"18-30",IF(Table1[[#This Row],[Column1]]&lt;=50,"31-50","51+"))</f>
        <v>31-50</v>
      </c>
      <c r="AK131" t="str">
        <f>IF(Table1[[#This Row],[WorkLifeBalance]]=1,"Poor",IF(Table1[[#This Row],[WorkLifeBalance]]=2,"Fair",IF(Table1[[#This Row],[WorkLifeBalance]]=3,"Good","Excellent")))</f>
        <v>Fair</v>
      </c>
    </row>
    <row r="132" spans="1:37" x14ac:dyDescent="0.3">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c r="AJ132" t="str">
        <f>IF(Table1[[#This Row],[Column1]]&lt;=30,"18-30",IF(Table1[[#This Row],[Column1]]&lt;=50,"31-50","51+"))</f>
        <v>31-50</v>
      </c>
      <c r="AK132" t="str">
        <f>IF(Table1[[#This Row],[WorkLifeBalance]]=1,"Poor",IF(Table1[[#This Row],[WorkLifeBalance]]=2,"Fair",IF(Table1[[#This Row],[WorkLifeBalance]]=3,"Good","Excellent")))</f>
        <v>Good</v>
      </c>
    </row>
    <row r="133" spans="1:37" x14ac:dyDescent="0.3">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c r="AJ133" t="str">
        <f>IF(Table1[[#This Row],[Column1]]&lt;=30,"18-30",IF(Table1[[#This Row],[Column1]]&lt;=50,"31-50","51+"))</f>
        <v>31-50</v>
      </c>
      <c r="AK133" t="str">
        <f>IF(Table1[[#This Row],[WorkLifeBalance]]=1,"Poor",IF(Table1[[#This Row],[WorkLifeBalance]]=2,"Fair",IF(Table1[[#This Row],[WorkLifeBalance]]=3,"Good","Excellent")))</f>
        <v>Good</v>
      </c>
    </row>
    <row r="134" spans="1:37" x14ac:dyDescent="0.3">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c r="AJ134" t="str">
        <f>IF(Table1[[#This Row],[Column1]]&lt;=30,"18-30",IF(Table1[[#This Row],[Column1]]&lt;=50,"31-50","51+"))</f>
        <v>31-50</v>
      </c>
      <c r="AK134" t="str">
        <f>IF(Table1[[#This Row],[WorkLifeBalance]]=1,"Poor",IF(Table1[[#This Row],[WorkLifeBalance]]=2,"Fair",IF(Table1[[#This Row],[WorkLifeBalance]]=3,"Good","Excellent")))</f>
        <v>Good</v>
      </c>
    </row>
    <row r="135" spans="1:37" x14ac:dyDescent="0.3">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c r="AJ135" t="str">
        <f>IF(Table1[[#This Row],[Column1]]&lt;=30,"18-30",IF(Table1[[#This Row],[Column1]]&lt;=50,"31-50","51+"))</f>
        <v>31-50</v>
      </c>
      <c r="AK135" t="str">
        <f>IF(Table1[[#This Row],[WorkLifeBalance]]=1,"Poor",IF(Table1[[#This Row],[WorkLifeBalance]]=2,"Fair",IF(Table1[[#This Row],[WorkLifeBalance]]=3,"Good","Excellent")))</f>
        <v>Good</v>
      </c>
    </row>
    <row r="136" spans="1:37" x14ac:dyDescent="0.3">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c r="AJ136" t="str">
        <f>IF(Table1[[#This Row],[Column1]]&lt;=30,"18-30",IF(Table1[[#This Row],[Column1]]&lt;=50,"31-50","51+"))</f>
        <v>18-30</v>
      </c>
      <c r="AK136" t="str">
        <f>IF(Table1[[#This Row],[WorkLifeBalance]]=1,"Poor",IF(Table1[[#This Row],[WorkLifeBalance]]=2,"Fair",IF(Table1[[#This Row],[WorkLifeBalance]]=3,"Good","Excellent")))</f>
        <v>Good</v>
      </c>
    </row>
    <row r="137" spans="1:37" x14ac:dyDescent="0.3">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c r="AJ137" t="str">
        <f>IF(Table1[[#This Row],[Column1]]&lt;=30,"18-30",IF(Table1[[#This Row],[Column1]]&lt;=50,"31-50","51+"))</f>
        <v>31-50</v>
      </c>
      <c r="AK137" t="str">
        <f>IF(Table1[[#This Row],[WorkLifeBalance]]=1,"Poor",IF(Table1[[#This Row],[WorkLifeBalance]]=2,"Fair",IF(Table1[[#This Row],[WorkLifeBalance]]=3,"Good","Excellent")))</f>
        <v>Good</v>
      </c>
    </row>
    <row r="138" spans="1:37" x14ac:dyDescent="0.3">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c r="AJ138" t="str">
        <f>IF(Table1[[#This Row],[Column1]]&lt;=30,"18-30",IF(Table1[[#This Row],[Column1]]&lt;=50,"31-50","51+"))</f>
        <v>51+</v>
      </c>
      <c r="AK138" t="str">
        <f>IF(Table1[[#This Row],[WorkLifeBalance]]=1,"Poor",IF(Table1[[#This Row],[WorkLifeBalance]]=2,"Fair",IF(Table1[[#This Row],[WorkLifeBalance]]=3,"Good","Excellent")))</f>
        <v>Good</v>
      </c>
    </row>
    <row r="139" spans="1:37" x14ac:dyDescent="0.3">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c r="AJ139" t="str">
        <f>IF(Table1[[#This Row],[Column1]]&lt;=30,"18-30",IF(Table1[[#This Row],[Column1]]&lt;=50,"31-50","51+"))</f>
        <v>31-50</v>
      </c>
      <c r="AK139" t="str">
        <f>IF(Table1[[#This Row],[WorkLifeBalance]]=1,"Poor",IF(Table1[[#This Row],[WorkLifeBalance]]=2,"Fair",IF(Table1[[#This Row],[WorkLifeBalance]]=3,"Good","Excellent")))</f>
        <v>Excellent</v>
      </c>
    </row>
    <row r="140" spans="1:37" x14ac:dyDescent="0.3">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c r="AJ140" t="str">
        <f>IF(Table1[[#This Row],[Column1]]&lt;=30,"18-30",IF(Table1[[#This Row],[Column1]]&lt;=50,"31-50","51+"))</f>
        <v>18-30</v>
      </c>
      <c r="AK140" t="str">
        <f>IF(Table1[[#This Row],[WorkLifeBalance]]=1,"Poor",IF(Table1[[#This Row],[WorkLifeBalance]]=2,"Fair",IF(Table1[[#This Row],[WorkLifeBalance]]=3,"Good","Excellent")))</f>
        <v>Good</v>
      </c>
    </row>
    <row r="141" spans="1:37" x14ac:dyDescent="0.3">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c r="AJ141" t="str">
        <f>IF(Table1[[#This Row],[Column1]]&lt;=30,"18-30",IF(Table1[[#This Row],[Column1]]&lt;=50,"31-50","51+"))</f>
        <v>18-30</v>
      </c>
      <c r="AK141" t="str">
        <f>IF(Table1[[#This Row],[WorkLifeBalance]]=1,"Poor",IF(Table1[[#This Row],[WorkLifeBalance]]=2,"Fair",IF(Table1[[#This Row],[WorkLifeBalance]]=3,"Good","Excellent")))</f>
        <v>Poor</v>
      </c>
    </row>
    <row r="142" spans="1:37" x14ac:dyDescent="0.3">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c r="AJ142" t="str">
        <f>IF(Table1[[#This Row],[Column1]]&lt;=30,"18-30",IF(Table1[[#This Row],[Column1]]&lt;=50,"31-50","51+"))</f>
        <v>31-50</v>
      </c>
      <c r="AK142" t="str">
        <f>IF(Table1[[#This Row],[WorkLifeBalance]]=1,"Poor",IF(Table1[[#This Row],[WorkLifeBalance]]=2,"Fair",IF(Table1[[#This Row],[WorkLifeBalance]]=3,"Good","Excellent")))</f>
        <v>Excellent</v>
      </c>
    </row>
    <row r="143" spans="1:37" x14ac:dyDescent="0.3">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c r="AJ143" t="str">
        <f>IF(Table1[[#This Row],[Column1]]&lt;=30,"18-30",IF(Table1[[#This Row],[Column1]]&lt;=50,"31-50","51+"))</f>
        <v>31-50</v>
      </c>
      <c r="AK143" t="str">
        <f>IF(Table1[[#This Row],[WorkLifeBalance]]=1,"Poor",IF(Table1[[#This Row],[WorkLifeBalance]]=2,"Fair",IF(Table1[[#This Row],[WorkLifeBalance]]=3,"Good","Excellent")))</f>
        <v>Fair</v>
      </c>
    </row>
    <row r="144" spans="1:37" x14ac:dyDescent="0.3">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c r="AJ144" t="str">
        <f>IF(Table1[[#This Row],[Column1]]&lt;=30,"18-30",IF(Table1[[#This Row],[Column1]]&lt;=50,"31-50","51+"))</f>
        <v>31-50</v>
      </c>
      <c r="AK144" t="str">
        <f>IF(Table1[[#This Row],[WorkLifeBalance]]=1,"Poor",IF(Table1[[#This Row],[WorkLifeBalance]]=2,"Fair",IF(Table1[[#This Row],[WorkLifeBalance]]=3,"Good","Excellent")))</f>
        <v>Good</v>
      </c>
    </row>
    <row r="145" spans="1:37" x14ac:dyDescent="0.3">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c r="AJ145" t="str">
        <f>IF(Table1[[#This Row],[Column1]]&lt;=30,"18-30",IF(Table1[[#This Row],[Column1]]&lt;=50,"31-50","51+"))</f>
        <v>18-30</v>
      </c>
      <c r="AK145" t="str">
        <f>IF(Table1[[#This Row],[WorkLifeBalance]]=1,"Poor",IF(Table1[[#This Row],[WorkLifeBalance]]=2,"Fair",IF(Table1[[#This Row],[WorkLifeBalance]]=3,"Good","Excellent")))</f>
        <v>Fair</v>
      </c>
    </row>
    <row r="146" spans="1:37" x14ac:dyDescent="0.3">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c r="AJ146" t="str">
        <f>IF(Table1[[#This Row],[Column1]]&lt;=30,"18-30",IF(Table1[[#This Row],[Column1]]&lt;=50,"31-50","51+"))</f>
        <v>31-50</v>
      </c>
      <c r="AK146" t="str">
        <f>IF(Table1[[#This Row],[WorkLifeBalance]]=1,"Poor",IF(Table1[[#This Row],[WorkLifeBalance]]=2,"Fair",IF(Table1[[#This Row],[WorkLifeBalance]]=3,"Good","Excellent")))</f>
        <v>Excellent</v>
      </c>
    </row>
    <row r="147" spans="1:37" x14ac:dyDescent="0.3">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c r="AJ147" t="str">
        <f>IF(Table1[[#This Row],[Column1]]&lt;=30,"18-30",IF(Table1[[#This Row],[Column1]]&lt;=50,"31-50","51+"))</f>
        <v>18-30</v>
      </c>
      <c r="AK147" t="str">
        <f>IF(Table1[[#This Row],[WorkLifeBalance]]=1,"Poor",IF(Table1[[#This Row],[WorkLifeBalance]]=2,"Fair",IF(Table1[[#This Row],[WorkLifeBalance]]=3,"Good","Excellent")))</f>
        <v>Good</v>
      </c>
    </row>
    <row r="148" spans="1:37" x14ac:dyDescent="0.3">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c r="AJ148" t="str">
        <f>IF(Table1[[#This Row],[Column1]]&lt;=30,"18-30",IF(Table1[[#This Row],[Column1]]&lt;=50,"31-50","51+"))</f>
        <v>18-30</v>
      </c>
      <c r="AK148" t="str">
        <f>IF(Table1[[#This Row],[WorkLifeBalance]]=1,"Poor",IF(Table1[[#This Row],[WorkLifeBalance]]=2,"Fair",IF(Table1[[#This Row],[WorkLifeBalance]]=3,"Good","Excellent")))</f>
        <v>Good</v>
      </c>
    </row>
    <row r="149" spans="1:37" x14ac:dyDescent="0.3">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c r="AJ149" t="str">
        <f>IF(Table1[[#This Row],[Column1]]&lt;=30,"18-30",IF(Table1[[#This Row],[Column1]]&lt;=50,"31-50","51+"))</f>
        <v>31-50</v>
      </c>
      <c r="AK149" t="str">
        <f>IF(Table1[[#This Row],[WorkLifeBalance]]=1,"Poor",IF(Table1[[#This Row],[WorkLifeBalance]]=2,"Fair",IF(Table1[[#This Row],[WorkLifeBalance]]=3,"Good","Excellent")))</f>
        <v>Fair</v>
      </c>
    </row>
    <row r="150" spans="1:37" x14ac:dyDescent="0.3">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c r="AJ150" t="str">
        <f>IF(Table1[[#This Row],[Column1]]&lt;=30,"18-30",IF(Table1[[#This Row],[Column1]]&lt;=50,"31-50","51+"))</f>
        <v>31-50</v>
      </c>
      <c r="AK150" t="str">
        <f>IF(Table1[[#This Row],[WorkLifeBalance]]=1,"Poor",IF(Table1[[#This Row],[WorkLifeBalance]]=2,"Fair",IF(Table1[[#This Row],[WorkLifeBalance]]=3,"Good","Excellent")))</f>
        <v>Good</v>
      </c>
    </row>
    <row r="151" spans="1:37" x14ac:dyDescent="0.3">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c r="AJ151" t="str">
        <f>IF(Table1[[#This Row],[Column1]]&lt;=30,"18-30",IF(Table1[[#This Row],[Column1]]&lt;=50,"31-50","51+"))</f>
        <v>18-30</v>
      </c>
      <c r="AK151" t="str">
        <f>IF(Table1[[#This Row],[WorkLifeBalance]]=1,"Poor",IF(Table1[[#This Row],[WorkLifeBalance]]=2,"Fair",IF(Table1[[#This Row],[WorkLifeBalance]]=3,"Good","Excellent")))</f>
        <v>Good</v>
      </c>
    </row>
    <row r="152" spans="1:37" x14ac:dyDescent="0.3">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c r="AJ152" t="str">
        <f>IF(Table1[[#This Row],[Column1]]&lt;=30,"18-30",IF(Table1[[#This Row],[Column1]]&lt;=50,"31-50","51+"))</f>
        <v>31-50</v>
      </c>
      <c r="AK152" t="str">
        <f>IF(Table1[[#This Row],[WorkLifeBalance]]=1,"Poor",IF(Table1[[#This Row],[WorkLifeBalance]]=2,"Fair",IF(Table1[[#This Row],[WorkLifeBalance]]=3,"Good","Excellent")))</f>
        <v>Good</v>
      </c>
    </row>
    <row r="153" spans="1:37" x14ac:dyDescent="0.3">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c r="AJ153" t="str">
        <f>IF(Table1[[#This Row],[Column1]]&lt;=30,"18-30",IF(Table1[[#This Row],[Column1]]&lt;=50,"31-50","51+"))</f>
        <v>31-50</v>
      </c>
      <c r="AK153" t="str">
        <f>IF(Table1[[#This Row],[WorkLifeBalance]]=1,"Poor",IF(Table1[[#This Row],[WorkLifeBalance]]=2,"Fair",IF(Table1[[#This Row],[WorkLifeBalance]]=3,"Good","Excellent")))</f>
        <v>Good</v>
      </c>
    </row>
    <row r="154" spans="1:37" x14ac:dyDescent="0.3">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c r="AJ154" t="str">
        <f>IF(Table1[[#This Row],[Column1]]&lt;=30,"18-30",IF(Table1[[#This Row],[Column1]]&lt;=50,"31-50","51+"))</f>
        <v>51+</v>
      </c>
      <c r="AK154" t="str">
        <f>IF(Table1[[#This Row],[WorkLifeBalance]]=1,"Poor",IF(Table1[[#This Row],[WorkLifeBalance]]=2,"Fair",IF(Table1[[#This Row],[WorkLifeBalance]]=3,"Good","Excellent")))</f>
        <v>Poor</v>
      </c>
    </row>
    <row r="155" spans="1:37" x14ac:dyDescent="0.3">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c r="AJ155" t="str">
        <f>IF(Table1[[#This Row],[Column1]]&lt;=30,"18-30",IF(Table1[[#This Row],[Column1]]&lt;=50,"31-50","51+"))</f>
        <v>31-50</v>
      </c>
      <c r="AK155" t="str">
        <f>IF(Table1[[#This Row],[WorkLifeBalance]]=1,"Poor",IF(Table1[[#This Row],[WorkLifeBalance]]=2,"Fair",IF(Table1[[#This Row],[WorkLifeBalance]]=3,"Good","Excellent")))</f>
        <v>Poor</v>
      </c>
    </row>
    <row r="156" spans="1:37" x14ac:dyDescent="0.3">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c r="AJ156" t="str">
        <f>IF(Table1[[#This Row],[Column1]]&lt;=30,"18-30",IF(Table1[[#This Row],[Column1]]&lt;=50,"31-50","51+"))</f>
        <v>31-50</v>
      </c>
      <c r="AK156" t="str">
        <f>IF(Table1[[#This Row],[WorkLifeBalance]]=1,"Poor",IF(Table1[[#This Row],[WorkLifeBalance]]=2,"Fair",IF(Table1[[#This Row],[WorkLifeBalance]]=3,"Good","Excellent")))</f>
        <v>Good</v>
      </c>
    </row>
    <row r="157" spans="1:37" x14ac:dyDescent="0.3">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c r="AJ157" t="str">
        <f>IF(Table1[[#This Row],[Column1]]&lt;=30,"18-30",IF(Table1[[#This Row],[Column1]]&lt;=50,"31-50","51+"))</f>
        <v>18-30</v>
      </c>
      <c r="AK157" t="str">
        <f>IF(Table1[[#This Row],[WorkLifeBalance]]=1,"Poor",IF(Table1[[#This Row],[WorkLifeBalance]]=2,"Fair",IF(Table1[[#This Row],[WorkLifeBalance]]=3,"Good","Excellent")))</f>
        <v>Good</v>
      </c>
    </row>
    <row r="158" spans="1:37" x14ac:dyDescent="0.3">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c r="AJ158" t="str">
        <f>IF(Table1[[#This Row],[Column1]]&lt;=30,"18-30",IF(Table1[[#This Row],[Column1]]&lt;=50,"31-50","51+"))</f>
        <v>51+</v>
      </c>
      <c r="AK158" t="str">
        <f>IF(Table1[[#This Row],[WorkLifeBalance]]=1,"Poor",IF(Table1[[#This Row],[WorkLifeBalance]]=2,"Fair",IF(Table1[[#This Row],[WorkLifeBalance]]=3,"Good","Excellent")))</f>
        <v>Good</v>
      </c>
    </row>
    <row r="159" spans="1:37" x14ac:dyDescent="0.3">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c r="AJ159" t="str">
        <f>IF(Table1[[#This Row],[Column1]]&lt;=30,"18-30",IF(Table1[[#This Row],[Column1]]&lt;=50,"31-50","51+"))</f>
        <v>51+</v>
      </c>
      <c r="AK159" t="str">
        <f>IF(Table1[[#This Row],[WorkLifeBalance]]=1,"Poor",IF(Table1[[#This Row],[WorkLifeBalance]]=2,"Fair",IF(Table1[[#This Row],[WorkLifeBalance]]=3,"Good","Excellent")))</f>
        <v>Fair</v>
      </c>
    </row>
    <row r="160" spans="1:37" x14ac:dyDescent="0.3">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c r="AJ160" t="str">
        <f>IF(Table1[[#This Row],[Column1]]&lt;=30,"18-30",IF(Table1[[#This Row],[Column1]]&lt;=50,"31-50","51+"))</f>
        <v>31-50</v>
      </c>
      <c r="AK160" t="str">
        <f>IF(Table1[[#This Row],[WorkLifeBalance]]=1,"Poor",IF(Table1[[#This Row],[WorkLifeBalance]]=2,"Fair",IF(Table1[[#This Row],[WorkLifeBalance]]=3,"Good","Excellent")))</f>
        <v>Fair</v>
      </c>
    </row>
    <row r="161" spans="1:37" x14ac:dyDescent="0.3">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c r="AJ161" t="str">
        <f>IF(Table1[[#This Row],[Column1]]&lt;=30,"18-30",IF(Table1[[#This Row],[Column1]]&lt;=50,"31-50","51+"))</f>
        <v>31-50</v>
      </c>
      <c r="AK161" t="str">
        <f>IF(Table1[[#This Row],[WorkLifeBalance]]=1,"Poor",IF(Table1[[#This Row],[WorkLifeBalance]]=2,"Fair",IF(Table1[[#This Row],[WorkLifeBalance]]=3,"Good","Excellent")))</f>
        <v>Good</v>
      </c>
    </row>
    <row r="162" spans="1:37" x14ac:dyDescent="0.3">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c r="AJ162" t="str">
        <f>IF(Table1[[#This Row],[Column1]]&lt;=30,"18-30",IF(Table1[[#This Row],[Column1]]&lt;=50,"31-50","51+"))</f>
        <v>18-30</v>
      </c>
      <c r="AK162" t="str">
        <f>IF(Table1[[#This Row],[WorkLifeBalance]]=1,"Poor",IF(Table1[[#This Row],[WorkLifeBalance]]=2,"Fair",IF(Table1[[#This Row],[WorkLifeBalance]]=3,"Good","Excellent")))</f>
        <v>Good</v>
      </c>
    </row>
    <row r="163" spans="1:37" x14ac:dyDescent="0.3">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c r="AJ163" t="str">
        <f>IF(Table1[[#This Row],[Column1]]&lt;=30,"18-30",IF(Table1[[#This Row],[Column1]]&lt;=50,"31-50","51+"))</f>
        <v>18-30</v>
      </c>
      <c r="AK163" t="str">
        <f>IF(Table1[[#This Row],[WorkLifeBalance]]=1,"Poor",IF(Table1[[#This Row],[WorkLifeBalance]]=2,"Fair",IF(Table1[[#This Row],[WorkLifeBalance]]=3,"Good","Excellent")))</f>
        <v>Poor</v>
      </c>
    </row>
    <row r="164" spans="1:37" x14ac:dyDescent="0.3">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c r="AJ164" t="str">
        <f>IF(Table1[[#This Row],[Column1]]&lt;=30,"18-30",IF(Table1[[#This Row],[Column1]]&lt;=50,"31-50","51+"))</f>
        <v>18-30</v>
      </c>
      <c r="AK164" t="str">
        <f>IF(Table1[[#This Row],[WorkLifeBalance]]=1,"Poor",IF(Table1[[#This Row],[WorkLifeBalance]]=2,"Fair",IF(Table1[[#This Row],[WorkLifeBalance]]=3,"Good","Excellent")))</f>
        <v>Poor</v>
      </c>
    </row>
    <row r="165" spans="1:37" x14ac:dyDescent="0.3">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c r="AJ165" t="str">
        <f>IF(Table1[[#This Row],[Column1]]&lt;=30,"18-30",IF(Table1[[#This Row],[Column1]]&lt;=50,"31-50","51+"))</f>
        <v>51+</v>
      </c>
      <c r="AK165" t="str">
        <f>IF(Table1[[#This Row],[WorkLifeBalance]]=1,"Poor",IF(Table1[[#This Row],[WorkLifeBalance]]=2,"Fair",IF(Table1[[#This Row],[WorkLifeBalance]]=3,"Good","Excellent")))</f>
        <v>Poor</v>
      </c>
    </row>
    <row r="166" spans="1:37" x14ac:dyDescent="0.3">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c r="AJ166" t="str">
        <f>IF(Table1[[#This Row],[Column1]]&lt;=30,"18-30",IF(Table1[[#This Row],[Column1]]&lt;=50,"31-50","51+"))</f>
        <v>18-30</v>
      </c>
      <c r="AK166" t="str">
        <f>IF(Table1[[#This Row],[WorkLifeBalance]]=1,"Poor",IF(Table1[[#This Row],[WorkLifeBalance]]=2,"Fair",IF(Table1[[#This Row],[WorkLifeBalance]]=3,"Good","Excellent")))</f>
        <v>Fair</v>
      </c>
    </row>
    <row r="167" spans="1:37" x14ac:dyDescent="0.3">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c r="AJ167" t="str">
        <f>IF(Table1[[#This Row],[Column1]]&lt;=30,"18-30",IF(Table1[[#This Row],[Column1]]&lt;=50,"31-50","51+"))</f>
        <v>31-50</v>
      </c>
      <c r="AK167" t="str">
        <f>IF(Table1[[#This Row],[WorkLifeBalance]]=1,"Poor",IF(Table1[[#This Row],[WorkLifeBalance]]=2,"Fair",IF(Table1[[#This Row],[WorkLifeBalance]]=3,"Good","Excellent")))</f>
        <v>Good</v>
      </c>
    </row>
    <row r="168" spans="1:37" x14ac:dyDescent="0.3">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c r="AJ168" t="str">
        <f>IF(Table1[[#This Row],[Column1]]&lt;=30,"18-30",IF(Table1[[#This Row],[Column1]]&lt;=50,"31-50","51+"))</f>
        <v>31-50</v>
      </c>
      <c r="AK168" t="str">
        <f>IF(Table1[[#This Row],[WorkLifeBalance]]=1,"Poor",IF(Table1[[#This Row],[WorkLifeBalance]]=2,"Fair",IF(Table1[[#This Row],[WorkLifeBalance]]=3,"Good","Excellent")))</f>
        <v>Good</v>
      </c>
    </row>
    <row r="169" spans="1:37" x14ac:dyDescent="0.3">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c r="AJ169" t="str">
        <f>IF(Table1[[#This Row],[Column1]]&lt;=30,"18-30",IF(Table1[[#This Row],[Column1]]&lt;=50,"31-50","51+"))</f>
        <v>18-30</v>
      </c>
      <c r="AK169" t="str">
        <f>IF(Table1[[#This Row],[WorkLifeBalance]]=1,"Poor",IF(Table1[[#This Row],[WorkLifeBalance]]=2,"Fair",IF(Table1[[#This Row],[WorkLifeBalance]]=3,"Good","Excellent")))</f>
        <v>Good</v>
      </c>
    </row>
    <row r="170" spans="1:37" x14ac:dyDescent="0.3">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c r="AJ170" t="str">
        <f>IF(Table1[[#This Row],[Column1]]&lt;=30,"18-30",IF(Table1[[#This Row],[Column1]]&lt;=50,"31-50","51+"))</f>
        <v>31-50</v>
      </c>
      <c r="AK170" t="str">
        <f>IF(Table1[[#This Row],[WorkLifeBalance]]=1,"Poor",IF(Table1[[#This Row],[WorkLifeBalance]]=2,"Fair",IF(Table1[[#This Row],[WorkLifeBalance]]=3,"Good","Excellent")))</f>
        <v>Excellent</v>
      </c>
    </row>
    <row r="171" spans="1:37" x14ac:dyDescent="0.3">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c r="AJ171" t="str">
        <f>IF(Table1[[#This Row],[Column1]]&lt;=30,"18-30",IF(Table1[[#This Row],[Column1]]&lt;=50,"31-50","51+"))</f>
        <v>31-50</v>
      </c>
      <c r="AK171" t="str">
        <f>IF(Table1[[#This Row],[WorkLifeBalance]]=1,"Poor",IF(Table1[[#This Row],[WorkLifeBalance]]=2,"Fair",IF(Table1[[#This Row],[WorkLifeBalance]]=3,"Good","Excellent")))</f>
        <v>Good</v>
      </c>
    </row>
    <row r="172" spans="1:37" x14ac:dyDescent="0.3">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c r="AJ172" t="str">
        <f>IF(Table1[[#This Row],[Column1]]&lt;=30,"18-30",IF(Table1[[#This Row],[Column1]]&lt;=50,"31-50","51+"))</f>
        <v>18-30</v>
      </c>
      <c r="AK172" t="str">
        <f>IF(Table1[[#This Row],[WorkLifeBalance]]=1,"Poor",IF(Table1[[#This Row],[WorkLifeBalance]]=2,"Fair",IF(Table1[[#This Row],[WorkLifeBalance]]=3,"Good","Excellent")))</f>
        <v>Fair</v>
      </c>
    </row>
    <row r="173" spans="1:37" x14ac:dyDescent="0.3">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c r="AJ173" t="str">
        <f>IF(Table1[[#This Row],[Column1]]&lt;=30,"18-30",IF(Table1[[#This Row],[Column1]]&lt;=50,"31-50","51+"))</f>
        <v>18-30</v>
      </c>
      <c r="AK173" t="str">
        <f>IF(Table1[[#This Row],[WorkLifeBalance]]=1,"Poor",IF(Table1[[#This Row],[WorkLifeBalance]]=2,"Fair",IF(Table1[[#This Row],[WorkLifeBalance]]=3,"Good","Excellent")))</f>
        <v>Excellent</v>
      </c>
    </row>
    <row r="174" spans="1:37" x14ac:dyDescent="0.3">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c r="AJ174" t="str">
        <f>IF(Table1[[#This Row],[Column1]]&lt;=30,"18-30",IF(Table1[[#This Row],[Column1]]&lt;=50,"31-50","51+"))</f>
        <v>31-50</v>
      </c>
      <c r="AK174" t="str">
        <f>IF(Table1[[#This Row],[WorkLifeBalance]]=1,"Poor",IF(Table1[[#This Row],[WorkLifeBalance]]=2,"Fair",IF(Table1[[#This Row],[WorkLifeBalance]]=3,"Good","Excellent")))</f>
        <v>Fair</v>
      </c>
    </row>
    <row r="175" spans="1:37" x14ac:dyDescent="0.3">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c r="AJ175" t="str">
        <f>IF(Table1[[#This Row],[Column1]]&lt;=30,"18-30",IF(Table1[[#This Row],[Column1]]&lt;=50,"31-50","51+"))</f>
        <v>18-30</v>
      </c>
      <c r="AK175" t="str">
        <f>IF(Table1[[#This Row],[WorkLifeBalance]]=1,"Poor",IF(Table1[[#This Row],[WorkLifeBalance]]=2,"Fair",IF(Table1[[#This Row],[WorkLifeBalance]]=3,"Good","Excellent")))</f>
        <v>Good</v>
      </c>
    </row>
    <row r="176" spans="1:37" x14ac:dyDescent="0.3">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c r="AJ176" t="str">
        <f>IF(Table1[[#This Row],[Column1]]&lt;=30,"18-30",IF(Table1[[#This Row],[Column1]]&lt;=50,"31-50","51+"))</f>
        <v>31-50</v>
      </c>
      <c r="AK176" t="str">
        <f>IF(Table1[[#This Row],[WorkLifeBalance]]=1,"Poor",IF(Table1[[#This Row],[WorkLifeBalance]]=2,"Fair",IF(Table1[[#This Row],[WorkLifeBalance]]=3,"Good","Excellent")))</f>
        <v>Excellent</v>
      </c>
    </row>
    <row r="177" spans="1:37" x14ac:dyDescent="0.3">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c r="AJ177" t="str">
        <f>IF(Table1[[#This Row],[Column1]]&lt;=30,"18-30",IF(Table1[[#This Row],[Column1]]&lt;=50,"31-50","51+"))</f>
        <v>51+</v>
      </c>
      <c r="AK177" t="str">
        <f>IF(Table1[[#This Row],[WorkLifeBalance]]=1,"Poor",IF(Table1[[#This Row],[WorkLifeBalance]]=2,"Fair",IF(Table1[[#This Row],[WorkLifeBalance]]=3,"Good","Excellent")))</f>
        <v>Good</v>
      </c>
    </row>
    <row r="178" spans="1:37" x14ac:dyDescent="0.3">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c r="AJ178" t="str">
        <f>IF(Table1[[#This Row],[Column1]]&lt;=30,"18-30",IF(Table1[[#This Row],[Column1]]&lt;=50,"31-50","51+"))</f>
        <v>31-50</v>
      </c>
      <c r="AK178" t="str">
        <f>IF(Table1[[#This Row],[WorkLifeBalance]]=1,"Poor",IF(Table1[[#This Row],[WorkLifeBalance]]=2,"Fair",IF(Table1[[#This Row],[WorkLifeBalance]]=3,"Good","Excellent")))</f>
        <v>Excellent</v>
      </c>
    </row>
    <row r="179" spans="1:37" x14ac:dyDescent="0.3">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c r="AJ179" t="str">
        <f>IF(Table1[[#This Row],[Column1]]&lt;=30,"18-30",IF(Table1[[#This Row],[Column1]]&lt;=50,"31-50","51+"))</f>
        <v>18-30</v>
      </c>
      <c r="AK179" t="str">
        <f>IF(Table1[[#This Row],[WorkLifeBalance]]=1,"Poor",IF(Table1[[#This Row],[WorkLifeBalance]]=2,"Fair",IF(Table1[[#This Row],[WorkLifeBalance]]=3,"Good","Excellent")))</f>
        <v>Fair</v>
      </c>
    </row>
    <row r="180" spans="1:37" x14ac:dyDescent="0.3">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c r="AJ180" t="str">
        <f>IF(Table1[[#This Row],[Column1]]&lt;=30,"18-30",IF(Table1[[#This Row],[Column1]]&lt;=50,"31-50","51+"))</f>
        <v>31-50</v>
      </c>
      <c r="AK180" t="str">
        <f>IF(Table1[[#This Row],[WorkLifeBalance]]=1,"Poor",IF(Table1[[#This Row],[WorkLifeBalance]]=2,"Fair",IF(Table1[[#This Row],[WorkLifeBalance]]=3,"Good","Excellent")))</f>
        <v>Good</v>
      </c>
    </row>
    <row r="181" spans="1:37" x14ac:dyDescent="0.3">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c r="AJ181" t="str">
        <f>IF(Table1[[#This Row],[Column1]]&lt;=30,"18-30",IF(Table1[[#This Row],[Column1]]&lt;=50,"31-50","51+"))</f>
        <v>31-50</v>
      </c>
      <c r="AK181" t="str">
        <f>IF(Table1[[#This Row],[WorkLifeBalance]]=1,"Poor",IF(Table1[[#This Row],[WorkLifeBalance]]=2,"Fair",IF(Table1[[#This Row],[WorkLifeBalance]]=3,"Good","Excellent")))</f>
        <v>Good</v>
      </c>
    </row>
    <row r="182" spans="1:37" x14ac:dyDescent="0.3">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c r="AJ182" t="str">
        <f>IF(Table1[[#This Row],[Column1]]&lt;=30,"18-30",IF(Table1[[#This Row],[Column1]]&lt;=50,"31-50","51+"))</f>
        <v>31-50</v>
      </c>
      <c r="AK182" t="str">
        <f>IF(Table1[[#This Row],[WorkLifeBalance]]=1,"Poor",IF(Table1[[#This Row],[WorkLifeBalance]]=2,"Fair",IF(Table1[[#This Row],[WorkLifeBalance]]=3,"Good","Excellent")))</f>
        <v>Good</v>
      </c>
    </row>
    <row r="183" spans="1:37" x14ac:dyDescent="0.3">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c r="AJ183" t="str">
        <f>IF(Table1[[#This Row],[Column1]]&lt;=30,"18-30",IF(Table1[[#This Row],[Column1]]&lt;=50,"31-50","51+"))</f>
        <v>31-50</v>
      </c>
      <c r="AK183" t="str">
        <f>IF(Table1[[#This Row],[WorkLifeBalance]]=1,"Poor",IF(Table1[[#This Row],[WorkLifeBalance]]=2,"Fair",IF(Table1[[#This Row],[WorkLifeBalance]]=3,"Good","Excellent")))</f>
        <v>Good</v>
      </c>
    </row>
    <row r="184" spans="1:37" x14ac:dyDescent="0.3">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c r="AJ184" t="str">
        <f>IF(Table1[[#This Row],[Column1]]&lt;=30,"18-30",IF(Table1[[#This Row],[Column1]]&lt;=50,"31-50","51+"))</f>
        <v>31-50</v>
      </c>
      <c r="AK184" t="str">
        <f>IF(Table1[[#This Row],[WorkLifeBalance]]=1,"Poor",IF(Table1[[#This Row],[WorkLifeBalance]]=2,"Fair",IF(Table1[[#This Row],[WorkLifeBalance]]=3,"Good","Excellent")))</f>
        <v>Fair</v>
      </c>
    </row>
    <row r="185" spans="1:37" x14ac:dyDescent="0.3">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c r="AJ185" t="str">
        <f>IF(Table1[[#This Row],[Column1]]&lt;=30,"18-30",IF(Table1[[#This Row],[Column1]]&lt;=50,"31-50","51+"))</f>
        <v>31-50</v>
      </c>
      <c r="AK185" t="str">
        <f>IF(Table1[[#This Row],[WorkLifeBalance]]=1,"Poor",IF(Table1[[#This Row],[WorkLifeBalance]]=2,"Fair",IF(Table1[[#This Row],[WorkLifeBalance]]=3,"Good","Excellent")))</f>
        <v>Fair</v>
      </c>
    </row>
    <row r="186" spans="1:37" x14ac:dyDescent="0.3">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c r="AJ186" t="str">
        <f>IF(Table1[[#This Row],[Column1]]&lt;=30,"18-30",IF(Table1[[#This Row],[Column1]]&lt;=50,"31-50","51+"))</f>
        <v>51+</v>
      </c>
      <c r="AK186" t="str">
        <f>IF(Table1[[#This Row],[WorkLifeBalance]]=1,"Poor",IF(Table1[[#This Row],[WorkLifeBalance]]=2,"Fair",IF(Table1[[#This Row],[WorkLifeBalance]]=3,"Good","Excellent")))</f>
        <v>Good</v>
      </c>
    </row>
    <row r="187" spans="1:37" x14ac:dyDescent="0.3">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c r="AJ187" t="str">
        <f>IF(Table1[[#This Row],[Column1]]&lt;=30,"18-30",IF(Table1[[#This Row],[Column1]]&lt;=50,"31-50","51+"))</f>
        <v>31-50</v>
      </c>
      <c r="AK187" t="str">
        <f>IF(Table1[[#This Row],[WorkLifeBalance]]=1,"Poor",IF(Table1[[#This Row],[WorkLifeBalance]]=2,"Fair",IF(Table1[[#This Row],[WorkLifeBalance]]=3,"Good","Excellent")))</f>
        <v>Good</v>
      </c>
    </row>
    <row r="188" spans="1:37" x14ac:dyDescent="0.3">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c r="AJ188" t="str">
        <f>IF(Table1[[#This Row],[Column1]]&lt;=30,"18-30",IF(Table1[[#This Row],[Column1]]&lt;=50,"31-50","51+"))</f>
        <v>31-50</v>
      </c>
      <c r="AK188" t="str">
        <f>IF(Table1[[#This Row],[WorkLifeBalance]]=1,"Poor",IF(Table1[[#This Row],[WorkLifeBalance]]=2,"Fair",IF(Table1[[#This Row],[WorkLifeBalance]]=3,"Good","Excellent")))</f>
        <v>Good</v>
      </c>
    </row>
    <row r="189" spans="1:37" x14ac:dyDescent="0.3">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c r="AJ189" t="str">
        <f>IF(Table1[[#This Row],[Column1]]&lt;=30,"18-30",IF(Table1[[#This Row],[Column1]]&lt;=50,"31-50","51+"))</f>
        <v>51+</v>
      </c>
      <c r="AK189" t="str">
        <f>IF(Table1[[#This Row],[WorkLifeBalance]]=1,"Poor",IF(Table1[[#This Row],[WorkLifeBalance]]=2,"Fair",IF(Table1[[#This Row],[WorkLifeBalance]]=3,"Good","Excellent")))</f>
        <v>Good</v>
      </c>
    </row>
    <row r="190" spans="1:37" x14ac:dyDescent="0.3">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c r="AJ190" t="str">
        <f>IF(Table1[[#This Row],[Column1]]&lt;=30,"18-30",IF(Table1[[#This Row],[Column1]]&lt;=50,"31-50","51+"))</f>
        <v>31-50</v>
      </c>
      <c r="AK190" t="str">
        <f>IF(Table1[[#This Row],[WorkLifeBalance]]=1,"Poor",IF(Table1[[#This Row],[WorkLifeBalance]]=2,"Fair",IF(Table1[[#This Row],[WorkLifeBalance]]=3,"Good","Excellent")))</f>
        <v>Fair</v>
      </c>
    </row>
    <row r="191" spans="1:37" x14ac:dyDescent="0.3">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c r="AJ191" t="str">
        <f>IF(Table1[[#This Row],[Column1]]&lt;=30,"18-30",IF(Table1[[#This Row],[Column1]]&lt;=50,"31-50","51+"))</f>
        <v>51+</v>
      </c>
      <c r="AK191" t="str">
        <f>IF(Table1[[#This Row],[WorkLifeBalance]]=1,"Poor",IF(Table1[[#This Row],[WorkLifeBalance]]=2,"Fair",IF(Table1[[#This Row],[WorkLifeBalance]]=3,"Good","Excellent")))</f>
        <v>Good</v>
      </c>
    </row>
    <row r="192" spans="1:37" x14ac:dyDescent="0.3">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c r="AJ192" t="str">
        <f>IF(Table1[[#This Row],[Column1]]&lt;=30,"18-30",IF(Table1[[#This Row],[Column1]]&lt;=50,"31-50","51+"))</f>
        <v>51+</v>
      </c>
      <c r="AK192" t="str">
        <f>IF(Table1[[#This Row],[WorkLifeBalance]]=1,"Poor",IF(Table1[[#This Row],[WorkLifeBalance]]=2,"Fair",IF(Table1[[#This Row],[WorkLifeBalance]]=3,"Good","Excellent")))</f>
        <v>Good</v>
      </c>
    </row>
    <row r="193" spans="1:37" x14ac:dyDescent="0.3">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c r="AJ193" t="str">
        <f>IF(Table1[[#This Row],[Column1]]&lt;=30,"18-30",IF(Table1[[#This Row],[Column1]]&lt;=50,"31-50","51+"))</f>
        <v>18-30</v>
      </c>
      <c r="AK193" t="str">
        <f>IF(Table1[[#This Row],[WorkLifeBalance]]=1,"Poor",IF(Table1[[#This Row],[WorkLifeBalance]]=2,"Fair",IF(Table1[[#This Row],[WorkLifeBalance]]=3,"Good","Excellent")))</f>
        <v>Fair</v>
      </c>
    </row>
    <row r="194" spans="1:37" x14ac:dyDescent="0.3">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c r="AJ194" t="str">
        <f>IF(Table1[[#This Row],[Column1]]&lt;=30,"18-30",IF(Table1[[#This Row],[Column1]]&lt;=50,"31-50","51+"))</f>
        <v>31-50</v>
      </c>
      <c r="AK194" t="str">
        <f>IF(Table1[[#This Row],[WorkLifeBalance]]=1,"Poor",IF(Table1[[#This Row],[WorkLifeBalance]]=2,"Fair",IF(Table1[[#This Row],[WorkLifeBalance]]=3,"Good","Excellent")))</f>
        <v>Good</v>
      </c>
    </row>
    <row r="195" spans="1:37" x14ac:dyDescent="0.3">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c r="AJ195" t="str">
        <f>IF(Table1[[#This Row],[Column1]]&lt;=30,"18-30",IF(Table1[[#This Row],[Column1]]&lt;=50,"31-50","51+"))</f>
        <v>31-50</v>
      </c>
      <c r="AK195" t="str">
        <f>IF(Table1[[#This Row],[WorkLifeBalance]]=1,"Poor",IF(Table1[[#This Row],[WorkLifeBalance]]=2,"Fair",IF(Table1[[#This Row],[WorkLifeBalance]]=3,"Good","Excellent")))</f>
        <v>Excellent</v>
      </c>
    </row>
    <row r="196" spans="1:37" x14ac:dyDescent="0.3">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c r="AJ196" t="str">
        <f>IF(Table1[[#This Row],[Column1]]&lt;=30,"18-30",IF(Table1[[#This Row],[Column1]]&lt;=50,"31-50","51+"))</f>
        <v>31-50</v>
      </c>
      <c r="AK196" t="str">
        <f>IF(Table1[[#This Row],[WorkLifeBalance]]=1,"Poor",IF(Table1[[#This Row],[WorkLifeBalance]]=2,"Fair",IF(Table1[[#This Row],[WorkLifeBalance]]=3,"Good","Excellent")))</f>
        <v>Good</v>
      </c>
    </row>
    <row r="197" spans="1:37" x14ac:dyDescent="0.3">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c r="AJ197" t="str">
        <f>IF(Table1[[#This Row],[Column1]]&lt;=30,"18-30",IF(Table1[[#This Row],[Column1]]&lt;=50,"31-50","51+"))</f>
        <v>31-50</v>
      </c>
      <c r="AK197" t="str">
        <f>IF(Table1[[#This Row],[WorkLifeBalance]]=1,"Poor",IF(Table1[[#This Row],[WorkLifeBalance]]=2,"Fair",IF(Table1[[#This Row],[WorkLifeBalance]]=3,"Good","Excellent")))</f>
        <v>Fair</v>
      </c>
    </row>
    <row r="198" spans="1:37" x14ac:dyDescent="0.3">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c r="AJ198" t="str">
        <f>IF(Table1[[#This Row],[Column1]]&lt;=30,"18-30",IF(Table1[[#This Row],[Column1]]&lt;=50,"31-50","51+"))</f>
        <v>31-50</v>
      </c>
      <c r="AK198" t="str">
        <f>IF(Table1[[#This Row],[WorkLifeBalance]]=1,"Poor",IF(Table1[[#This Row],[WorkLifeBalance]]=2,"Fair",IF(Table1[[#This Row],[WorkLifeBalance]]=3,"Good","Excellent")))</f>
        <v>Good</v>
      </c>
    </row>
    <row r="199" spans="1:37" x14ac:dyDescent="0.3">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c r="AJ199" t="str">
        <f>IF(Table1[[#This Row],[Column1]]&lt;=30,"18-30",IF(Table1[[#This Row],[Column1]]&lt;=50,"31-50","51+"))</f>
        <v>31-50</v>
      </c>
      <c r="AK199" t="str">
        <f>IF(Table1[[#This Row],[WorkLifeBalance]]=1,"Poor",IF(Table1[[#This Row],[WorkLifeBalance]]=2,"Fair",IF(Table1[[#This Row],[WorkLifeBalance]]=3,"Good","Excellent")))</f>
        <v>Good</v>
      </c>
    </row>
    <row r="200" spans="1:37" x14ac:dyDescent="0.3">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c r="AJ200" t="str">
        <f>IF(Table1[[#This Row],[Column1]]&lt;=30,"18-30",IF(Table1[[#This Row],[Column1]]&lt;=50,"31-50","51+"))</f>
        <v>31-50</v>
      </c>
      <c r="AK200" t="str">
        <f>IF(Table1[[#This Row],[WorkLifeBalance]]=1,"Poor",IF(Table1[[#This Row],[WorkLifeBalance]]=2,"Fair",IF(Table1[[#This Row],[WorkLifeBalance]]=3,"Good","Excellent")))</f>
        <v>Good</v>
      </c>
    </row>
    <row r="201" spans="1:37" x14ac:dyDescent="0.3">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c r="AJ201" t="str">
        <f>IF(Table1[[#This Row],[Column1]]&lt;=30,"18-30",IF(Table1[[#This Row],[Column1]]&lt;=50,"31-50","51+"))</f>
        <v>31-50</v>
      </c>
      <c r="AK201" t="str">
        <f>IF(Table1[[#This Row],[WorkLifeBalance]]=1,"Poor",IF(Table1[[#This Row],[WorkLifeBalance]]=2,"Fair",IF(Table1[[#This Row],[WorkLifeBalance]]=3,"Good","Excellent")))</f>
        <v>Poor</v>
      </c>
    </row>
    <row r="202" spans="1:37" x14ac:dyDescent="0.3">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c r="AJ202" t="str">
        <f>IF(Table1[[#This Row],[Column1]]&lt;=30,"18-30",IF(Table1[[#This Row],[Column1]]&lt;=50,"31-50","51+"))</f>
        <v>18-30</v>
      </c>
      <c r="AK202" t="str">
        <f>IF(Table1[[#This Row],[WorkLifeBalance]]=1,"Poor",IF(Table1[[#This Row],[WorkLifeBalance]]=2,"Fair",IF(Table1[[#This Row],[WorkLifeBalance]]=3,"Good","Excellent")))</f>
        <v>Good</v>
      </c>
    </row>
    <row r="203" spans="1:37" x14ac:dyDescent="0.3">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c r="AJ203" t="str">
        <f>IF(Table1[[#This Row],[Column1]]&lt;=30,"18-30",IF(Table1[[#This Row],[Column1]]&lt;=50,"31-50","51+"))</f>
        <v>31-50</v>
      </c>
      <c r="AK203" t="str">
        <f>IF(Table1[[#This Row],[WorkLifeBalance]]=1,"Poor",IF(Table1[[#This Row],[WorkLifeBalance]]=2,"Fair",IF(Table1[[#This Row],[WorkLifeBalance]]=3,"Good","Excellent")))</f>
        <v>Good</v>
      </c>
    </row>
    <row r="204" spans="1:37" x14ac:dyDescent="0.3">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c r="AJ204" t="str">
        <f>IF(Table1[[#This Row],[Column1]]&lt;=30,"18-30",IF(Table1[[#This Row],[Column1]]&lt;=50,"31-50","51+"))</f>
        <v>31-50</v>
      </c>
      <c r="AK204" t="str">
        <f>IF(Table1[[#This Row],[WorkLifeBalance]]=1,"Poor",IF(Table1[[#This Row],[WorkLifeBalance]]=2,"Fair",IF(Table1[[#This Row],[WorkLifeBalance]]=3,"Good","Excellent")))</f>
        <v>Excellent</v>
      </c>
    </row>
    <row r="205" spans="1:37" x14ac:dyDescent="0.3">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c r="AJ205" t="str">
        <f>IF(Table1[[#This Row],[Column1]]&lt;=30,"18-30",IF(Table1[[#This Row],[Column1]]&lt;=50,"31-50","51+"))</f>
        <v>31-50</v>
      </c>
      <c r="AK205" t="str">
        <f>IF(Table1[[#This Row],[WorkLifeBalance]]=1,"Poor",IF(Table1[[#This Row],[WorkLifeBalance]]=2,"Fair",IF(Table1[[#This Row],[WorkLifeBalance]]=3,"Good","Excellent")))</f>
        <v>Excellent</v>
      </c>
    </row>
    <row r="206" spans="1:37" x14ac:dyDescent="0.3">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c r="AJ206" t="str">
        <f>IF(Table1[[#This Row],[Column1]]&lt;=30,"18-30",IF(Table1[[#This Row],[Column1]]&lt;=50,"31-50","51+"))</f>
        <v>31-50</v>
      </c>
      <c r="AK206" t="str">
        <f>IF(Table1[[#This Row],[WorkLifeBalance]]=1,"Poor",IF(Table1[[#This Row],[WorkLifeBalance]]=2,"Fair",IF(Table1[[#This Row],[WorkLifeBalance]]=3,"Good","Excellent")))</f>
        <v>Good</v>
      </c>
    </row>
    <row r="207" spans="1:37" x14ac:dyDescent="0.3">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c r="AJ207" t="str">
        <f>IF(Table1[[#This Row],[Column1]]&lt;=30,"18-30",IF(Table1[[#This Row],[Column1]]&lt;=50,"31-50","51+"))</f>
        <v>18-30</v>
      </c>
      <c r="AK207" t="str">
        <f>IF(Table1[[#This Row],[WorkLifeBalance]]=1,"Poor",IF(Table1[[#This Row],[WorkLifeBalance]]=2,"Fair",IF(Table1[[#This Row],[WorkLifeBalance]]=3,"Good","Excellent")))</f>
        <v>Fair</v>
      </c>
    </row>
    <row r="208" spans="1:37" x14ac:dyDescent="0.3">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c r="AJ208" t="str">
        <f>IF(Table1[[#This Row],[Column1]]&lt;=30,"18-30",IF(Table1[[#This Row],[Column1]]&lt;=50,"31-50","51+"))</f>
        <v>18-30</v>
      </c>
      <c r="AK208" t="str">
        <f>IF(Table1[[#This Row],[WorkLifeBalance]]=1,"Poor",IF(Table1[[#This Row],[WorkLifeBalance]]=2,"Fair",IF(Table1[[#This Row],[WorkLifeBalance]]=3,"Good","Excellent")))</f>
        <v>Fair</v>
      </c>
    </row>
    <row r="209" spans="1:37" x14ac:dyDescent="0.3">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c r="AJ209" t="str">
        <f>IF(Table1[[#This Row],[Column1]]&lt;=30,"18-30",IF(Table1[[#This Row],[Column1]]&lt;=50,"31-50","51+"))</f>
        <v>31-50</v>
      </c>
      <c r="AK209" t="str">
        <f>IF(Table1[[#This Row],[WorkLifeBalance]]=1,"Poor",IF(Table1[[#This Row],[WorkLifeBalance]]=2,"Fair",IF(Table1[[#This Row],[WorkLifeBalance]]=3,"Good","Excellent")))</f>
        <v>Good</v>
      </c>
    </row>
    <row r="210" spans="1:37" x14ac:dyDescent="0.3">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c r="AJ210" t="str">
        <f>IF(Table1[[#This Row],[Column1]]&lt;=30,"18-30",IF(Table1[[#This Row],[Column1]]&lt;=50,"31-50","51+"))</f>
        <v>31-50</v>
      </c>
      <c r="AK210" t="str">
        <f>IF(Table1[[#This Row],[WorkLifeBalance]]=1,"Poor",IF(Table1[[#This Row],[WorkLifeBalance]]=2,"Fair",IF(Table1[[#This Row],[WorkLifeBalance]]=3,"Good","Excellent")))</f>
        <v>Poor</v>
      </c>
    </row>
    <row r="211" spans="1:37" x14ac:dyDescent="0.3">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c r="AJ211" t="str">
        <f>IF(Table1[[#This Row],[Column1]]&lt;=30,"18-30",IF(Table1[[#This Row],[Column1]]&lt;=50,"31-50","51+"))</f>
        <v>31-50</v>
      </c>
      <c r="AK211" t="str">
        <f>IF(Table1[[#This Row],[WorkLifeBalance]]=1,"Poor",IF(Table1[[#This Row],[WorkLifeBalance]]=2,"Fair",IF(Table1[[#This Row],[WorkLifeBalance]]=3,"Good","Excellent")))</f>
        <v>Good</v>
      </c>
    </row>
    <row r="212" spans="1:37" x14ac:dyDescent="0.3">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c r="AJ212" t="str">
        <f>IF(Table1[[#This Row],[Column1]]&lt;=30,"18-30",IF(Table1[[#This Row],[Column1]]&lt;=50,"31-50","51+"))</f>
        <v>31-50</v>
      </c>
      <c r="AK212" t="str">
        <f>IF(Table1[[#This Row],[WorkLifeBalance]]=1,"Poor",IF(Table1[[#This Row],[WorkLifeBalance]]=2,"Fair",IF(Table1[[#This Row],[WorkLifeBalance]]=3,"Good","Excellent")))</f>
        <v>Fair</v>
      </c>
    </row>
    <row r="213" spans="1:37" x14ac:dyDescent="0.3">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c r="AJ213" t="str">
        <f>IF(Table1[[#This Row],[Column1]]&lt;=30,"18-30",IF(Table1[[#This Row],[Column1]]&lt;=50,"31-50","51+"))</f>
        <v>18-30</v>
      </c>
      <c r="AK213" t="str">
        <f>IF(Table1[[#This Row],[WorkLifeBalance]]=1,"Poor",IF(Table1[[#This Row],[WorkLifeBalance]]=2,"Fair",IF(Table1[[#This Row],[WorkLifeBalance]]=3,"Good","Excellent")))</f>
        <v>Good</v>
      </c>
    </row>
    <row r="214" spans="1:37" x14ac:dyDescent="0.3">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c r="AJ214" t="str">
        <f>IF(Table1[[#This Row],[Column1]]&lt;=30,"18-30",IF(Table1[[#This Row],[Column1]]&lt;=50,"31-50","51+"))</f>
        <v>18-30</v>
      </c>
      <c r="AK214" t="str">
        <f>IF(Table1[[#This Row],[WorkLifeBalance]]=1,"Poor",IF(Table1[[#This Row],[WorkLifeBalance]]=2,"Fair",IF(Table1[[#This Row],[WorkLifeBalance]]=3,"Good","Excellent")))</f>
        <v>Good</v>
      </c>
    </row>
    <row r="215" spans="1:37" x14ac:dyDescent="0.3">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c r="AJ215" t="str">
        <f>IF(Table1[[#This Row],[Column1]]&lt;=30,"18-30",IF(Table1[[#This Row],[Column1]]&lt;=50,"31-50","51+"))</f>
        <v>51+</v>
      </c>
      <c r="AK215" t="str">
        <f>IF(Table1[[#This Row],[WorkLifeBalance]]=1,"Poor",IF(Table1[[#This Row],[WorkLifeBalance]]=2,"Fair",IF(Table1[[#This Row],[WorkLifeBalance]]=3,"Good","Excellent")))</f>
        <v>Poor</v>
      </c>
    </row>
    <row r="216" spans="1:37" x14ac:dyDescent="0.3">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c r="AJ216" t="str">
        <f>IF(Table1[[#This Row],[Column1]]&lt;=30,"18-30",IF(Table1[[#This Row],[Column1]]&lt;=50,"31-50","51+"))</f>
        <v>18-30</v>
      </c>
      <c r="AK216" t="str">
        <f>IF(Table1[[#This Row],[WorkLifeBalance]]=1,"Poor",IF(Table1[[#This Row],[WorkLifeBalance]]=2,"Fair",IF(Table1[[#This Row],[WorkLifeBalance]]=3,"Good","Excellent")))</f>
        <v>Good</v>
      </c>
    </row>
    <row r="217" spans="1:37" x14ac:dyDescent="0.3">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c r="AJ217" t="str">
        <f>IF(Table1[[#This Row],[Column1]]&lt;=30,"18-30",IF(Table1[[#This Row],[Column1]]&lt;=50,"31-50","51+"))</f>
        <v>31-50</v>
      </c>
      <c r="AK217" t="str">
        <f>IF(Table1[[#This Row],[WorkLifeBalance]]=1,"Poor",IF(Table1[[#This Row],[WorkLifeBalance]]=2,"Fair",IF(Table1[[#This Row],[WorkLifeBalance]]=3,"Good","Excellent")))</f>
        <v>Good</v>
      </c>
    </row>
    <row r="218" spans="1:37" x14ac:dyDescent="0.3">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c r="AJ218" t="str">
        <f>IF(Table1[[#This Row],[Column1]]&lt;=30,"18-30",IF(Table1[[#This Row],[Column1]]&lt;=50,"31-50","51+"))</f>
        <v>18-30</v>
      </c>
      <c r="AK218" t="str">
        <f>IF(Table1[[#This Row],[WorkLifeBalance]]=1,"Poor",IF(Table1[[#This Row],[WorkLifeBalance]]=2,"Fair",IF(Table1[[#This Row],[WorkLifeBalance]]=3,"Good","Excellent")))</f>
        <v>Fair</v>
      </c>
    </row>
    <row r="219" spans="1:37" x14ac:dyDescent="0.3">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c r="AJ219" t="str">
        <f>IF(Table1[[#This Row],[Column1]]&lt;=30,"18-30",IF(Table1[[#This Row],[Column1]]&lt;=50,"31-50","51+"))</f>
        <v>18-30</v>
      </c>
      <c r="AK219" t="str">
        <f>IF(Table1[[#This Row],[WorkLifeBalance]]=1,"Poor",IF(Table1[[#This Row],[WorkLifeBalance]]=2,"Fair",IF(Table1[[#This Row],[WorkLifeBalance]]=3,"Good","Excellent")))</f>
        <v>Fair</v>
      </c>
    </row>
    <row r="220" spans="1:37" x14ac:dyDescent="0.3">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c r="AJ220" t="str">
        <f>IF(Table1[[#This Row],[Column1]]&lt;=30,"18-30",IF(Table1[[#This Row],[Column1]]&lt;=50,"31-50","51+"))</f>
        <v>31-50</v>
      </c>
      <c r="AK220" t="str">
        <f>IF(Table1[[#This Row],[WorkLifeBalance]]=1,"Poor",IF(Table1[[#This Row],[WorkLifeBalance]]=2,"Fair",IF(Table1[[#This Row],[WorkLifeBalance]]=3,"Good","Excellent")))</f>
        <v>Good</v>
      </c>
    </row>
    <row r="221" spans="1:37" x14ac:dyDescent="0.3">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c r="AJ221" t="str">
        <f>IF(Table1[[#This Row],[Column1]]&lt;=30,"18-30",IF(Table1[[#This Row],[Column1]]&lt;=50,"31-50","51+"))</f>
        <v>51+</v>
      </c>
      <c r="AK221" t="str">
        <f>IF(Table1[[#This Row],[WorkLifeBalance]]=1,"Poor",IF(Table1[[#This Row],[WorkLifeBalance]]=2,"Fair",IF(Table1[[#This Row],[WorkLifeBalance]]=3,"Good","Excellent")))</f>
        <v>Good</v>
      </c>
    </row>
    <row r="222" spans="1:37" x14ac:dyDescent="0.3">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c r="AJ222" t="str">
        <f>IF(Table1[[#This Row],[Column1]]&lt;=30,"18-30",IF(Table1[[#This Row],[Column1]]&lt;=50,"31-50","51+"))</f>
        <v>31-50</v>
      </c>
      <c r="AK222" t="str">
        <f>IF(Table1[[#This Row],[WorkLifeBalance]]=1,"Poor",IF(Table1[[#This Row],[WorkLifeBalance]]=2,"Fair",IF(Table1[[#This Row],[WorkLifeBalance]]=3,"Good","Excellent")))</f>
        <v>Excellent</v>
      </c>
    </row>
    <row r="223" spans="1:37" x14ac:dyDescent="0.3">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c r="AJ223" t="str">
        <f>IF(Table1[[#This Row],[Column1]]&lt;=30,"18-30",IF(Table1[[#This Row],[Column1]]&lt;=50,"31-50","51+"))</f>
        <v>31-50</v>
      </c>
      <c r="AK223" t="str">
        <f>IF(Table1[[#This Row],[WorkLifeBalance]]=1,"Poor",IF(Table1[[#This Row],[WorkLifeBalance]]=2,"Fair",IF(Table1[[#This Row],[WorkLifeBalance]]=3,"Good","Excellent")))</f>
        <v>Good</v>
      </c>
    </row>
    <row r="224" spans="1:37" x14ac:dyDescent="0.3">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c r="AJ224" t="str">
        <f>IF(Table1[[#This Row],[Column1]]&lt;=30,"18-30",IF(Table1[[#This Row],[Column1]]&lt;=50,"31-50","51+"))</f>
        <v>31-50</v>
      </c>
      <c r="AK224" t="str">
        <f>IF(Table1[[#This Row],[WorkLifeBalance]]=1,"Poor",IF(Table1[[#This Row],[WorkLifeBalance]]=2,"Fair",IF(Table1[[#This Row],[WorkLifeBalance]]=3,"Good","Excellent")))</f>
        <v>Good</v>
      </c>
    </row>
    <row r="225" spans="1:37" x14ac:dyDescent="0.3">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c r="AJ225" t="str">
        <f>IF(Table1[[#This Row],[Column1]]&lt;=30,"18-30",IF(Table1[[#This Row],[Column1]]&lt;=50,"31-50","51+"))</f>
        <v>31-50</v>
      </c>
      <c r="AK225" t="str">
        <f>IF(Table1[[#This Row],[WorkLifeBalance]]=1,"Poor",IF(Table1[[#This Row],[WorkLifeBalance]]=2,"Fair",IF(Table1[[#This Row],[WorkLifeBalance]]=3,"Good","Excellent")))</f>
        <v>Fair</v>
      </c>
    </row>
    <row r="226" spans="1:37" x14ac:dyDescent="0.3">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c r="AJ226" t="str">
        <f>IF(Table1[[#This Row],[Column1]]&lt;=30,"18-30",IF(Table1[[#This Row],[Column1]]&lt;=50,"31-50","51+"))</f>
        <v>31-50</v>
      </c>
      <c r="AK226" t="str">
        <f>IF(Table1[[#This Row],[WorkLifeBalance]]=1,"Poor",IF(Table1[[#This Row],[WorkLifeBalance]]=2,"Fair",IF(Table1[[#This Row],[WorkLifeBalance]]=3,"Good","Excellent")))</f>
        <v>Good</v>
      </c>
    </row>
    <row r="227" spans="1:37" x14ac:dyDescent="0.3">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c r="AJ227" t="str">
        <f>IF(Table1[[#This Row],[Column1]]&lt;=30,"18-30",IF(Table1[[#This Row],[Column1]]&lt;=50,"31-50","51+"))</f>
        <v>51+</v>
      </c>
      <c r="AK227" t="str">
        <f>IF(Table1[[#This Row],[WorkLifeBalance]]=1,"Poor",IF(Table1[[#This Row],[WorkLifeBalance]]=2,"Fair",IF(Table1[[#This Row],[WorkLifeBalance]]=3,"Good","Excellent")))</f>
        <v>Good</v>
      </c>
    </row>
    <row r="228" spans="1:37" x14ac:dyDescent="0.3">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c r="AJ228" t="str">
        <f>IF(Table1[[#This Row],[Column1]]&lt;=30,"18-30",IF(Table1[[#This Row],[Column1]]&lt;=50,"31-50","51+"))</f>
        <v>31-50</v>
      </c>
      <c r="AK228" t="str">
        <f>IF(Table1[[#This Row],[WorkLifeBalance]]=1,"Poor",IF(Table1[[#This Row],[WorkLifeBalance]]=2,"Fair",IF(Table1[[#This Row],[WorkLifeBalance]]=3,"Good","Excellent")))</f>
        <v>Good</v>
      </c>
    </row>
    <row r="229" spans="1:37" x14ac:dyDescent="0.3">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c r="AJ229" t="str">
        <f>IF(Table1[[#This Row],[Column1]]&lt;=30,"18-30",IF(Table1[[#This Row],[Column1]]&lt;=50,"31-50","51+"))</f>
        <v>18-30</v>
      </c>
      <c r="AK229" t="str">
        <f>IF(Table1[[#This Row],[WorkLifeBalance]]=1,"Poor",IF(Table1[[#This Row],[WorkLifeBalance]]=2,"Fair",IF(Table1[[#This Row],[WorkLifeBalance]]=3,"Good","Excellent")))</f>
        <v>Good</v>
      </c>
    </row>
    <row r="230" spans="1:37" x14ac:dyDescent="0.3">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c r="AJ230" t="str">
        <f>IF(Table1[[#This Row],[Column1]]&lt;=30,"18-30",IF(Table1[[#This Row],[Column1]]&lt;=50,"31-50","51+"))</f>
        <v>31-50</v>
      </c>
      <c r="AK230" t="str">
        <f>IF(Table1[[#This Row],[WorkLifeBalance]]=1,"Poor",IF(Table1[[#This Row],[WorkLifeBalance]]=2,"Fair",IF(Table1[[#This Row],[WorkLifeBalance]]=3,"Good","Excellent")))</f>
        <v>Excellent</v>
      </c>
    </row>
    <row r="231" spans="1:37" x14ac:dyDescent="0.3">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c r="AJ231" t="str">
        <f>IF(Table1[[#This Row],[Column1]]&lt;=30,"18-30",IF(Table1[[#This Row],[Column1]]&lt;=50,"31-50","51+"))</f>
        <v>18-30</v>
      </c>
      <c r="AK231" t="str">
        <f>IF(Table1[[#This Row],[WorkLifeBalance]]=1,"Poor",IF(Table1[[#This Row],[WorkLifeBalance]]=2,"Fair",IF(Table1[[#This Row],[WorkLifeBalance]]=3,"Good","Excellent")))</f>
        <v>Fair</v>
      </c>
    </row>
    <row r="232" spans="1:37" x14ac:dyDescent="0.3">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c r="AJ232" t="str">
        <f>IF(Table1[[#This Row],[Column1]]&lt;=30,"18-30",IF(Table1[[#This Row],[Column1]]&lt;=50,"31-50","51+"))</f>
        <v>51+</v>
      </c>
      <c r="AK232" t="str">
        <f>IF(Table1[[#This Row],[WorkLifeBalance]]=1,"Poor",IF(Table1[[#This Row],[WorkLifeBalance]]=2,"Fair",IF(Table1[[#This Row],[WorkLifeBalance]]=3,"Good","Excellent")))</f>
        <v>Fair</v>
      </c>
    </row>
    <row r="233" spans="1:37" x14ac:dyDescent="0.3">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c r="AJ233" t="str">
        <f>IF(Table1[[#This Row],[Column1]]&lt;=30,"18-30",IF(Table1[[#This Row],[Column1]]&lt;=50,"31-50","51+"))</f>
        <v>31-50</v>
      </c>
      <c r="AK233" t="str">
        <f>IF(Table1[[#This Row],[WorkLifeBalance]]=1,"Poor",IF(Table1[[#This Row],[WorkLifeBalance]]=2,"Fair",IF(Table1[[#This Row],[WorkLifeBalance]]=3,"Good","Excellent")))</f>
        <v>Good</v>
      </c>
    </row>
    <row r="234" spans="1:37" x14ac:dyDescent="0.3">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c r="AJ234" t="str">
        <f>IF(Table1[[#This Row],[Column1]]&lt;=30,"18-30",IF(Table1[[#This Row],[Column1]]&lt;=50,"31-50","51+"))</f>
        <v>51+</v>
      </c>
      <c r="AK234" t="str">
        <f>IF(Table1[[#This Row],[WorkLifeBalance]]=1,"Poor",IF(Table1[[#This Row],[WorkLifeBalance]]=2,"Fair",IF(Table1[[#This Row],[WorkLifeBalance]]=3,"Good","Excellent")))</f>
        <v>Fair</v>
      </c>
    </row>
    <row r="235" spans="1:37" x14ac:dyDescent="0.3">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c r="AJ235" t="str">
        <f>IF(Table1[[#This Row],[Column1]]&lt;=30,"18-30",IF(Table1[[#This Row],[Column1]]&lt;=50,"31-50","51+"))</f>
        <v>31-50</v>
      </c>
      <c r="AK235" t="str">
        <f>IF(Table1[[#This Row],[WorkLifeBalance]]=1,"Poor",IF(Table1[[#This Row],[WorkLifeBalance]]=2,"Fair",IF(Table1[[#This Row],[WorkLifeBalance]]=3,"Good","Excellent")))</f>
        <v>Fair</v>
      </c>
    </row>
    <row r="236" spans="1:37" x14ac:dyDescent="0.3">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c r="AJ236" t="str">
        <f>IF(Table1[[#This Row],[Column1]]&lt;=30,"18-30",IF(Table1[[#This Row],[Column1]]&lt;=50,"31-50","51+"))</f>
        <v>31-50</v>
      </c>
      <c r="AK236" t="str">
        <f>IF(Table1[[#This Row],[WorkLifeBalance]]=1,"Poor",IF(Table1[[#This Row],[WorkLifeBalance]]=2,"Fair",IF(Table1[[#This Row],[WorkLifeBalance]]=3,"Good","Excellent")))</f>
        <v>Poor</v>
      </c>
    </row>
    <row r="237" spans="1:37" x14ac:dyDescent="0.3">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c r="AJ237" t="str">
        <f>IF(Table1[[#This Row],[Column1]]&lt;=30,"18-30",IF(Table1[[#This Row],[Column1]]&lt;=50,"31-50","51+"))</f>
        <v>31-50</v>
      </c>
      <c r="AK237" t="str">
        <f>IF(Table1[[#This Row],[WorkLifeBalance]]=1,"Poor",IF(Table1[[#This Row],[WorkLifeBalance]]=2,"Fair",IF(Table1[[#This Row],[WorkLifeBalance]]=3,"Good","Excellent")))</f>
        <v>Good</v>
      </c>
    </row>
    <row r="238" spans="1:37" x14ac:dyDescent="0.3">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c r="AJ238" t="str">
        <f>IF(Table1[[#This Row],[Column1]]&lt;=30,"18-30",IF(Table1[[#This Row],[Column1]]&lt;=50,"31-50","51+"))</f>
        <v>31-50</v>
      </c>
      <c r="AK238" t="str">
        <f>IF(Table1[[#This Row],[WorkLifeBalance]]=1,"Poor",IF(Table1[[#This Row],[WorkLifeBalance]]=2,"Fair",IF(Table1[[#This Row],[WorkLifeBalance]]=3,"Good","Excellent")))</f>
        <v>Excellent</v>
      </c>
    </row>
    <row r="239" spans="1:37" x14ac:dyDescent="0.3">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c r="AJ239" t="str">
        <f>IF(Table1[[#This Row],[Column1]]&lt;=30,"18-30",IF(Table1[[#This Row],[Column1]]&lt;=50,"31-50","51+"))</f>
        <v>51+</v>
      </c>
      <c r="AK239" t="str">
        <f>IF(Table1[[#This Row],[WorkLifeBalance]]=1,"Poor",IF(Table1[[#This Row],[WorkLifeBalance]]=2,"Fair",IF(Table1[[#This Row],[WorkLifeBalance]]=3,"Good","Excellent")))</f>
        <v>Excellent</v>
      </c>
    </row>
    <row r="240" spans="1:37" x14ac:dyDescent="0.3">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c r="AJ240" t="str">
        <f>IF(Table1[[#This Row],[Column1]]&lt;=30,"18-30",IF(Table1[[#This Row],[Column1]]&lt;=50,"31-50","51+"))</f>
        <v>31-50</v>
      </c>
      <c r="AK240" t="str">
        <f>IF(Table1[[#This Row],[WorkLifeBalance]]=1,"Poor",IF(Table1[[#This Row],[WorkLifeBalance]]=2,"Fair",IF(Table1[[#This Row],[WorkLifeBalance]]=3,"Good","Excellent")))</f>
        <v>Good</v>
      </c>
    </row>
    <row r="241" spans="1:37" x14ac:dyDescent="0.3">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c r="AJ241" t="str">
        <f>IF(Table1[[#This Row],[Column1]]&lt;=30,"18-30",IF(Table1[[#This Row],[Column1]]&lt;=50,"31-50","51+"))</f>
        <v>31-50</v>
      </c>
      <c r="AK241" t="str">
        <f>IF(Table1[[#This Row],[WorkLifeBalance]]=1,"Poor",IF(Table1[[#This Row],[WorkLifeBalance]]=2,"Fair",IF(Table1[[#This Row],[WorkLifeBalance]]=3,"Good","Excellent")))</f>
        <v>Poor</v>
      </c>
    </row>
    <row r="242" spans="1:37" x14ac:dyDescent="0.3">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c r="AJ242" t="str">
        <f>IF(Table1[[#This Row],[Column1]]&lt;=30,"18-30",IF(Table1[[#This Row],[Column1]]&lt;=50,"31-50","51+"))</f>
        <v>31-50</v>
      </c>
      <c r="AK242" t="str">
        <f>IF(Table1[[#This Row],[WorkLifeBalance]]=1,"Poor",IF(Table1[[#This Row],[WorkLifeBalance]]=2,"Fair",IF(Table1[[#This Row],[WorkLifeBalance]]=3,"Good","Excellent")))</f>
        <v>Good</v>
      </c>
    </row>
    <row r="243" spans="1:37" x14ac:dyDescent="0.3">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c r="AJ243" t="str">
        <f>IF(Table1[[#This Row],[Column1]]&lt;=30,"18-30",IF(Table1[[#This Row],[Column1]]&lt;=50,"31-50","51+"))</f>
        <v>31-50</v>
      </c>
      <c r="AK243" t="str">
        <f>IF(Table1[[#This Row],[WorkLifeBalance]]=1,"Poor",IF(Table1[[#This Row],[WorkLifeBalance]]=2,"Fair",IF(Table1[[#This Row],[WorkLifeBalance]]=3,"Good","Excellent")))</f>
        <v>Good</v>
      </c>
    </row>
    <row r="244" spans="1:37" x14ac:dyDescent="0.3">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c r="AJ244" t="str">
        <f>IF(Table1[[#This Row],[Column1]]&lt;=30,"18-30",IF(Table1[[#This Row],[Column1]]&lt;=50,"31-50","51+"))</f>
        <v>31-50</v>
      </c>
      <c r="AK244" t="str">
        <f>IF(Table1[[#This Row],[WorkLifeBalance]]=1,"Poor",IF(Table1[[#This Row],[WorkLifeBalance]]=2,"Fair",IF(Table1[[#This Row],[WorkLifeBalance]]=3,"Good","Excellent")))</f>
        <v>Fair</v>
      </c>
    </row>
    <row r="245" spans="1:37" x14ac:dyDescent="0.3">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c r="AJ245" t="str">
        <f>IF(Table1[[#This Row],[Column1]]&lt;=30,"18-30",IF(Table1[[#This Row],[Column1]]&lt;=50,"31-50","51+"))</f>
        <v>31-50</v>
      </c>
      <c r="AK245" t="str">
        <f>IF(Table1[[#This Row],[WorkLifeBalance]]=1,"Poor",IF(Table1[[#This Row],[WorkLifeBalance]]=2,"Fair",IF(Table1[[#This Row],[WorkLifeBalance]]=3,"Good","Excellent")))</f>
        <v>Good</v>
      </c>
    </row>
    <row r="246" spans="1:37" x14ac:dyDescent="0.3">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c r="AJ246" t="str">
        <f>IF(Table1[[#This Row],[Column1]]&lt;=30,"18-30",IF(Table1[[#This Row],[Column1]]&lt;=50,"31-50","51+"))</f>
        <v>31-50</v>
      </c>
      <c r="AK246" t="str">
        <f>IF(Table1[[#This Row],[WorkLifeBalance]]=1,"Poor",IF(Table1[[#This Row],[WorkLifeBalance]]=2,"Fair",IF(Table1[[#This Row],[WorkLifeBalance]]=3,"Good","Excellent")))</f>
        <v>Good</v>
      </c>
    </row>
    <row r="247" spans="1:37" x14ac:dyDescent="0.3">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c r="AJ247" t="str">
        <f>IF(Table1[[#This Row],[Column1]]&lt;=30,"18-30",IF(Table1[[#This Row],[Column1]]&lt;=50,"31-50","51+"))</f>
        <v>31-50</v>
      </c>
      <c r="AK247" t="str">
        <f>IF(Table1[[#This Row],[WorkLifeBalance]]=1,"Poor",IF(Table1[[#This Row],[WorkLifeBalance]]=2,"Fair",IF(Table1[[#This Row],[WorkLifeBalance]]=3,"Good","Excellent")))</f>
        <v>Good</v>
      </c>
    </row>
    <row r="248" spans="1:37" x14ac:dyDescent="0.3">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c r="AJ248" t="str">
        <f>IF(Table1[[#This Row],[Column1]]&lt;=30,"18-30",IF(Table1[[#This Row],[Column1]]&lt;=50,"31-50","51+"))</f>
        <v>31-50</v>
      </c>
      <c r="AK248" t="str">
        <f>IF(Table1[[#This Row],[WorkLifeBalance]]=1,"Poor",IF(Table1[[#This Row],[WorkLifeBalance]]=2,"Fair",IF(Table1[[#This Row],[WorkLifeBalance]]=3,"Good","Excellent")))</f>
        <v>Fair</v>
      </c>
    </row>
    <row r="249" spans="1:37" x14ac:dyDescent="0.3">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c r="AJ249" t="str">
        <f>IF(Table1[[#This Row],[Column1]]&lt;=30,"18-30",IF(Table1[[#This Row],[Column1]]&lt;=50,"31-50","51+"))</f>
        <v>31-50</v>
      </c>
      <c r="AK249" t="str">
        <f>IF(Table1[[#This Row],[WorkLifeBalance]]=1,"Poor",IF(Table1[[#This Row],[WorkLifeBalance]]=2,"Fair",IF(Table1[[#This Row],[WorkLifeBalance]]=3,"Good","Excellent")))</f>
        <v>Good</v>
      </c>
    </row>
    <row r="250" spans="1:37" x14ac:dyDescent="0.3">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c r="AJ250" t="str">
        <f>IF(Table1[[#This Row],[Column1]]&lt;=30,"18-30",IF(Table1[[#This Row],[Column1]]&lt;=50,"31-50","51+"))</f>
        <v>31-50</v>
      </c>
      <c r="AK250" t="str">
        <f>IF(Table1[[#This Row],[WorkLifeBalance]]=1,"Poor",IF(Table1[[#This Row],[WorkLifeBalance]]=2,"Fair",IF(Table1[[#This Row],[WorkLifeBalance]]=3,"Good","Excellent")))</f>
        <v>Fair</v>
      </c>
    </row>
    <row r="251" spans="1:37" x14ac:dyDescent="0.3">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c r="AJ251" t="str">
        <f>IF(Table1[[#This Row],[Column1]]&lt;=30,"18-30",IF(Table1[[#This Row],[Column1]]&lt;=50,"31-50","51+"))</f>
        <v>31-50</v>
      </c>
      <c r="AK251" t="str">
        <f>IF(Table1[[#This Row],[WorkLifeBalance]]=1,"Poor",IF(Table1[[#This Row],[WorkLifeBalance]]=2,"Fair",IF(Table1[[#This Row],[WorkLifeBalance]]=3,"Good","Excellent")))</f>
        <v>Good</v>
      </c>
    </row>
    <row r="252" spans="1:37" x14ac:dyDescent="0.3">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c r="AJ252" t="str">
        <f>IF(Table1[[#This Row],[Column1]]&lt;=30,"18-30",IF(Table1[[#This Row],[Column1]]&lt;=50,"31-50","51+"))</f>
        <v>31-50</v>
      </c>
      <c r="AK252" t="str">
        <f>IF(Table1[[#This Row],[WorkLifeBalance]]=1,"Poor",IF(Table1[[#This Row],[WorkLifeBalance]]=2,"Fair",IF(Table1[[#This Row],[WorkLifeBalance]]=3,"Good","Excellent")))</f>
        <v>Good</v>
      </c>
    </row>
    <row r="253" spans="1:37" x14ac:dyDescent="0.3">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c r="AJ253" t="str">
        <f>IF(Table1[[#This Row],[Column1]]&lt;=30,"18-30",IF(Table1[[#This Row],[Column1]]&lt;=50,"31-50","51+"))</f>
        <v>31-50</v>
      </c>
      <c r="AK253" t="str">
        <f>IF(Table1[[#This Row],[WorkLifeBalance]]=1,"Poor",IF(Table1[[#This Row],[WorkLifeBalance]]=2,"Fair",IF(Table1[[#This Row],[WorkLifeBalance]]=3,"Good","Excellent")))</f>
        <v>Good</v>
      </c>
    </row>
    <row r="254" spans="1:37" x14ac:dyDescent="0.3">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c r="AJ254" t="str">
        <f>IF(Table1[[#This Row],[Column1]]&lt;=30,"18-30",IF(Table1[[#This Row],[Column1]]&lt;=50,"31-50","51+"))</f>
        <v>18-30</v>
      </c>
      <c r="AK254" t="str">
        <f>IF(Table1[[#This Row],[WorkLifeBalance]]=1,"Poor",IF(Table1[[#This Row],[WorkLifeBalance]]=2,"Fair",IF(Table1[[#This Row],[WorkLifeBalance]]=3,"Good","Excellent")))</f>
        <v>Good</v>
      </c>
    </row>
    <row r="255" spans="1:37" x14ac:dyDescent="0.3">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c r="AJ255" t="str">
        <f>IF(Table1[[#This Row],[Column1]]&lt;=30,"18-30",IF(Table1[[#This Row],[Column1]]&lt;=50,"31-50","51+"))</f>
        <v>31-50</v>
      </c>
      <c r="AK255" t="str">
        <f>IF(Table1[[#This Row],[WorkLifeBalance]]=1,"Poor",IF(Table1[[#This Row],[WorkLifeBalance]]=2,"Fair",IF(Table1[[#This Row],[WorkLifeBalance]]=3,"Good","Excellent")))</f>
        <v>Good</v>
      </c>
    </row>
    <row r="256" spans="1:37" x14ac:dyDescent="0.3">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c r="AJ256" t="str">
        <f>IF(Table1[[#This Row],[Column1]]&lt;=30,"18-30",IF(Table1[[#This Row],[Column1]]&lt;=50,"31-50","51+"))</f>
        <v>18-30</v>
      </c>
      <c r="AK256" t="str">
        <f>IF(Table1[[#This Row],[WorkLifeBalance]]=1,"Poor",IF(Table1[[#This Row],[WorkLifeBalance]]=2,"Fair",IF(Table1[[#This Row],[WorkLifeBalance]]=3,"Good","Excellent")))</f>
        <v>Good</v>
      </c>
    </row>
    <row r="257" spans="1:37" x14ac:dyDescent="0.3">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c r="AJ257" t="str">
        <f>IF(Table1[[#This Row],[Column1]]&lt;=30,"18-30",IF(Table1[[#This Row],[Column1]]&lt;=50,"31-50","51+"))</f>
        <v>18-30</v>
      </c>
      <c r="AK257" t="str">
        <f>IF(Table1[[#This Row],[WorkLifeBalance]]=1,"Poor",IF(Table1[[#This Row],[WorkLifeBalance]]=2,"Fair",IF(Table1[[#This Row],[WorkLifeBalance]]=3,"Good","Excellent")))</f>
        <v>Good</v>
      </c>
    </row>
    <row r="258" spans="1:37" x14ac:dyDescent="0.3">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c r="AJ258" t="str">
        <f>IF(Table1[[#This Row],[Column1]]&lt;=30,"18-30",IF(Table1[[#This Row],[Column1]]&lt;=50,"31-50","51+"))</f>
        <v>31-50</v>
      </c>
      <c r="AK258" t="str">
        <f>IF(Table1[[#This Row],[WorkLifeBalance]]=1,"Poor",IF(Table1[[#This Row],[WorkLifeBalance]]=2,"Fair",IF(Table1[[#This Row],[WorkLifeBalance]]=3,"Good","Excellent")))</f>
        <v>Good</v>
      </c>
    </row>
    <row r="259" spans="1:37" x14ac:dyDescent="0.3">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c r="AJ259" t="str">
        <f>IF(Table1[[#This Row],[Column1]]&lt;=30,"18-30",IF(Table1[[#This Row],[Column1]]&lt;=50,"31-50","51+"))</f>
        <v>31-50</v>
      </c>
      <c r="AK259" t="str">
        <f>IF(Table1[[#This Row],[WorkLifeBalance]]=1,"Poor",IF(Table1[[#This Row],[WorkLifeBalance]]=2,"Fair",IF(Table1[[#This Row],[WorkLifeBalance]]=3,"Good","Excellent")))</f>
        <v>Good</v>
      </c>
    </row>
    <row r="260" spans="1:37" x14ac:dyDescent="0.3">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c r="AJ260" t="str">
        <f>IF(Table1[[#This Row],[Column1]]&lt;=30,"18-30",IF(Table1[[#This Row],[Column1]]&lt;=50,"31-50","51+"))</f>
        <v>51+</v>
      </c>
      <c r="AK260" t="str">
        <f>IF(Table1[[#This Row],[WorkLifeBalance]]=1,"Poor",IF(Table1[[#This Row],[WorkLifeBalance]]=2,"Fair",IF(Table1[[#This Row],[WorkLifeBalance]]=3,"Good","Excellent")))</f>
        <v>Fair</v>
      </c>
    </row>
    <row r="261" spans="1:37" x14ac:dyDescent="0.3">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c r="AJ261" t="str">
        <f>IF(Table1[[#This Row],[Column1]]&lt;=30,"18-30",IF(Table1[[#This Row],[Column1]]&lt;=50,"31-50","51+"))</f>
        <v>31-50</v>
      </c>
      <c r="AK261" t="str">
        <f>IF(Table1[[#This Row],[WorkLifeBalance]]=1,"Poor",IF(Table1[[#This Row],[WorkLifeBalance]]=2,"Fair",IF(Table1[[#This Row],[WorkLifeBalance]]=3,"Good","Excellent")))</f>
        <v>Excellent</v>
      </c>
    </row>
    <row r="262" spans="1:37" x14ac:dyDescent="0.3">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c r="AJ262" t="str">
        <f>IF(Table1[[#This Row],[Column1]]&lt;=30,"18-30",IF(Table1[[#This Row],[Column1]]&lt;=50,"31-50","51+"))</f>
        <v>31-50</v>
      </c>
      <c r="AK262" t="str">
        <f>IF(Table1[[#This Row],[WorkLifeBalance]]=1,"Poor",IF(Table1[[#This Row],[WorkLifeBalance]]=2,"Fair",IF(Table1[[#This Row],[WorkLifeBalance]]=3,"Good","Excellent")))</f>
        <v>Poor</v>
      </c>
    </row>
    <row r="263" spans="1:37" x14ac:dyDescent="0.3">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c r="AJ263" t="str">
        <f>IF(Table1[[#This Row],[Column1]]&lt;=30,"18-30",IF(Table1[[#This Row],[Column1]]&lt;=50,"31-50","51+"))</f>
        <v>31-50</v>
      </c>
      <c r="AK263" t="str">
        <f>IF(Table1[[#This Row],[WorkLifeBalance]]=1,"Poor",IF(Table1[[#This Row],[WorkLifeBalance]]=2,"Fair",IF(Table1[[#This Row],[WorkLifeBalance]]=3,"Good","Excellent")))</f>
        <v>Good</v>
      </c>
    </row>
    <row r="264" spans="1:37" x14ac:dyDescent="0.3">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c r="AJ264" t="str">
        <f>IF(Table1[[#This Row],[Column1]]&lt;=30,"18-30",IF(Table1[[#This Row],[Column1]]&lt;=50,"31-50","51+"))</f>
        <v>31-50</v>
      </c>
      <c r="AK264" t="str">
        <f>IF(Table1[[#This Row],[WorkLifeBalance]]=1,"Poor",IF(Table1[[#This Row],[WorkLifeBalance]]=2,"Fair",IF(Table1[[#This Row],[WorkLifeBalance]]=3,"Good","Excellent")))</f>
        <v>Good</v>
      </c>
    </row>
    <row r="265" spans="1:37" x14ac:dyDescent="0.3">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c r="AJ265" t="str">
        <f>IF(Table1[[#This Row],[Column1]]&lt;=30,"18-30",IF(Table1[[#This Row],[Column1]]&lt;=50,"31-50","51+"))</f>
        <v>31-50</v>
      </c>
      <c r="AK265" t="str">
        <f>IF(Table1[[#This Row],[WorkLifeBalance]]=1,"Poor",IF(Table1[[#This Row],[WorkLifeBalance]]=2,"Fair",IF(Table1[[#This Row],[WorkLifeBalance]]=3,"Good","Excellent")))</f>
        <v>Fair</v>
      </c>
    </row>
    <row r="266" spans="1:37" x14ac:dyDescent="0.3">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c r="AJ266" t="str">
        <f>IF(Table1[[#This Row],[Column1]]&lt;=30,"18-30",IF(Table1[[#This Row],[Column1]]&lt;=50,"31-50","51+"))</f>
        <v>18-30</v>
      </c>
      <c r="AK266" t="str">
        <f>IF(Table1[[#This Row],[WorkLifeBalance]]=1,"Poor",IF(Table1[[#This Row],[WorkLifeBalance]]=2,"Fair",IF(Table1[[#This Row],[WorkLifeBalance]]=3,"Good","Excellent")))</f>
        <v>Poor</v>
      </c>
    </row>
    <row r="267" spans="1:37" x14ac:dyDescent="0.3">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c r="AJ267" t="str">
        <f>IF(Table1[[#This Row],[Column1]]&lt;=30,"18-30",IF(Table1[[#This Row],[Column1]]&lt;=50,"31-50","51+"))</f>
        <v>18-30</v>
      </c>
      <c r="AK267" t="str">
        <f>IF(Table1[[#This Row],[WorkLifeBalance]]=1,"Poor",IF(Table1[[#This Row],[WorkLifeBalance]]=2,"Fair",IF(Table1[[#This Row],[WorkLifeBalance]]=3,"Good","Excellent")))</f>
        <v>Good</v>
      </c>
    </row>
    <row r="268" spans="1:37" x14ac:dyDescent="0.3">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c r="AJ268" t="str">
        <f>IF(Table1[[#This Row],[Column1]]&lt;=30,"18-30",IF(Table1[[#This Row],[Column1]]&lt;=50,"31-50","51+"))</f>
        <v>31-50</v>
      </c>
      <c r="AK268" t="str">
        <f>IF(Table1[[#This Row],[WorkLifeBalance]]=1,"Poor",IF(Table1[[#This Row],[WorkLifeBalance]]=2,"Fair",IF(Table1[[#This Row],[WorkLifeBalance]]=3,"Good","Excellent")))</f>
        <v>Good</v>
      </c>
    </row>
    <row r="269" spans="1:37" x14ac:dyDescent="0.3">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c r="AJ269" t="str">
        <f>IF(Table1[[#This Row],[Column1]]&lt;=30,"18-30",IF(Table1[[#This Row],[Column1]]&lt;=50,"31-50","51+"))</f>
        <v>18-30</v>
      </c>
      <c r="AK269" t="str">
        <f>IF(Table1[[#This Row],[WorkLifeBalance]]=1,"Poor",IF(Table1[[#This Row],[WorkLifeBalance]]=2,"Fair",IF(Table1[[#This Row],[WorkLifeBalance]]=3,"Good","Excellent")))</f>
        <v>Good</v>
      </c>
    </row>
    <row r="270" spans="1:37" x14ac:dyDescent="0.3">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c r="AJ270" t="str">
        <f>IF(Table1[[#This Row],[Column1]]&lt;=30,"18-30",IF(Table1[[#This Row],[Column1]]&lt;=50,"31-50","51+"))</f>
        <v>31-50</v>
      </c>
      <c r="AK270" t="str">
        <f>IF(Table1[[#This Row],[WorkLifeBalance]]=1,"Poor",IF(Table1[[#This Row],[WorkLifeBalance]]=2,"Fair",IF(Table1[[#This Row],[WorkLifeBalance]]=3,"Good","Excellent")))</f>
        <v>Good</v>
      </c>
    </row>
    <row r="271" spans="1:37" x14ac:dyDescent="0.3">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c r="AJ271" t="str">
        <f>IF(Table1[[#This Row],[Column1]]&lt;=30,"18-30",IF(Table1[[#This Row],[Column1]]&lt;=50,"31-50","51+"))</f>
        <v>31-50</v>
      </c>
      <c r="AK271" t="str">
        <f>IF(Table1[[#This Row],[WorkLifeBalance]]=1,"Poor",IF(Table1[[#This Row],[WorkLifeBalance]]=2,"Fair",IF(Table1[[#This Row],[WorkLifeBalance]]=3,"Good","Excellent")))</f>
        <v>Good</v>
      </c>
    </row>
    <row r="272" spans="1:37" x14ac:dyDescent="0.3">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c r="AJ272" t="str">
        <f>IF(Table1[[#This Row],[Column1]]&lt;=30,"18-30",IF(Table1[[#This Row],[Column1]]&lt;=50,"31-50","51+"))</f>
        <v>51+</v>
      </c>
      <c r="AK272" t="str">
        <f>IF(Table1[[#This Row],[WorkLifeBalance]]=1,"Poor",IF(Table1[[#This Row],[WorkLifeBalance]]=2,"Fair",IF(Table1[[#This Row],[WorkLifeBalance]]=3,"Good","Excellent")))</f>
        <v>Good</v>
      </c>
    </row>
    <row r="273" spans="1:37" x14ac:dyDescent="0.3">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c r="AJ273" t="str">
        <f>IF(Table1[[#This Row],[Column1]]&lt;=30,"18-30",IF(Table1[[#This Row],[Column1]]&lt;=50,"31-50","51+"))</f>
        <v>31-50</v>
      </c>
      <c r="AK273" t="str">
        <f>IF(Table1[[#This Row],[WorkLifeBalance]]=1,"Poor",IF(Table1[[#This Row],[WorkLifeBalance]]=2,"Fair",IF(Table1[[#This Row],[WorkLifeBalance]]=3,"Good","Excellent")))</f>
        <v>Fair</v>
      </c>
    </row>
    <row r="274" spans="1:37" x14ac:dyDescent="0.3">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c r="AJ274" t="str">
        <f>IF(Table1[[#This Row],[Column1]]&lt;=30,"18-30",IF(Table1[[#This Row],[Column1]]&lt;=50,"31-50","51+"))</f>
        <v>18-30</v>
      </c>
      <c r="AK274" t="str">
        <f>IF(Table1[[#This Row],[WorkLifeBalance]]=1,"Poor",IF(Table1[[#This Row],[WorkLifeBalance]]=2,"Fair",IF(Table1[[#This Row],[WorkLifeBalance]]=3,"Good","Excellent")))</f>
        <v>Fair</v>
      </c>
    </row>
    <row r="275" spans="1:37" x14ac:dyDescent="0.3">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c r="AJ275" t="str">
        <f>IF(Table1[[#This Row],[Column1]]&lt;=30,"18-30",IF(Table1[[#This Row],[Column1]]&lt;=50,"31-50","51+"))</f>
        <v>31-50</v>
      </c>
      <c r="AK275" t="str">
        <f>IF(Table1[[#This Row],[WorkLifeBalance]]=1,"Poor",IF(Table1[[#This Row],[WorkLifeBalance]]=2,"Fair",IF(Table1[[#This Row],[WorkLifeBalance]]=3,"Good","Excellent")))</f>
        <v>Excellent</v>
      </c>
    </row>
    <row r="276" spans="1:37" x14ac:dyDescent="0.3">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c r="AJ276" t="str">
        <f>IF(Table1[[#This Row],[Column1]]&lt;=30,"18-30",IF(Table1[[#This Row],[Column1]]&lt;=50,"31-50","51+"))</f>
        <v>18-30</v>
      </c>
      <c r="AK276" t="str">
        <f>IF(Table1[[#This Row],[WorkLifeBalance]]=1,"Poor",IF(Table1[[#This Row],[WorkLifeBalance]]=2,"Fair",IF(Table1[[#This Row],[WorkLifeBalance]]=3,"Good","Excellent")))</f>
        <v>Excellent</v>
      </c>
    </row>
    <row r="277" spans="1:37" x14ac:dyDescent="0.3">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c r="AJ277" t="str">
        <f>IF(Table1[[#This Row],[Column1]]&lt;=30,"18-30",IF(Table1[[#This Row],[Column1]]&lt;=50,"31-50","51+"))</f>
        <v>31-50</v>
      </c>
      <c r="AK277" t="str">
        <f>IF(Table1[[#This Row],[WorkLifeBalance]]=1,"Poor",IF(Table1[[#This Row],[WorkLifeBalance]]=2,"Fair",IF(Table1[[#This Row],[WorkLifeBalance]]=3,"Good","Excellent")))</f>
        <v>Good</v>
      </c>
    </row>
    <row r="278" spans="1:37" x14ac:dyDescent="0.3">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c r="AJ278" t="str">
        <f>IF(Table1[[#This Row],[Column1]]&lt;=30,"18-30",IF(Table1[[#This Row],[Column1]]&lt;=50,"31-50","51+"))</f>
        <v>31-50</v>
      </c>
      <c r="AK278" t="str">
        <f>IF(Table1[[#This Row],[WorkLifeBalance]]=1,"Poor",IF(Table1[[#This Row],[WorkLifeBalance]]=2,"Fair",IF(Table1[[#This Row],[WorkLifeBalance]]=3,"Good","Excellent")))</f>
        <v>Fair</v>
      </c>
    </row>
    <row r="279" spans="1:37" x14ac:dyDescent="0.3">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c r="AJ279" t="str">
        <f>IF(Table1[[#This Row],[Column1]]&lt;=30,"18-30",IF(Table1[[#This Row],[Column1]]&lt;=50,"31-50","51+"))</f>
        <v>31-50</v>
      </c>
      <c r="AK279" t="str">
        <f>IF(Table1[[#This Row],[WorkLifeBalance]]=1,"Poor",IF(Table1[[#This Row],[WorkLifeBalance]]=2,"Fair",IF(Table1[[#This Row],[WorkLifeBalance]]=3,"Good","Excellent")))</f>
        <v>Good</v>
      </c>
    </row>
    <row r="280" spans="1:37" x14ac:dyDescent="0.3">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c r="AJ280" t="str">
        <f>IF(Table1[[#This Row],[Column1]]&lt;=30,"18-30",IF(Table1[[#This Row],[Column1]]&lt;=50,"31-50","51+"))</f>
        <v>18-30</v>
      </c>
      <c r="AK280" t="str">
        <f>IF(Table1[[#This Row],[WorkLifeBalance]]=1,"Poor",IF(Table1[[#This Row],[WorkLifeBalance]]=2,"Fair",IF(Table1[[#This Row],[WorkLifeBalance]]=3,"Good","Excellent")))</f>
        <v>Poor</v>
      </c>
    </row>
    <row r="281" spans="1:37" x14ac:dyDescent="0.3">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c r="AJ281" t="str">
        <f>IF(Table1[[#This Row],[Column1]]&lt;=30,"18-30",IF(Table1[[#This Row],[Column1]]&lt;=50,"31-50","51+"))</f>
        <v>31-50</v>
      </c>
      <c r="AK281" t="str">
        <f>IF(Table1[[#This Row],[WorkLifeBalance]]=1,"Poor",IF(Table1[[#This Row],[WorkLifeBalance]]=2,"Fair",IF(Table1[[#This Row],[WorkLifeBalance]]=3,"Good","Excellent")))</f>
        <v>Fair</v>
      </c>
    </row>
    <row r="282" spans="1:37" x14ac:dyDescent="0.3">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c r="AJ282" t="str">
        <f>IF(Table1[[#This Row],[Column1]]&lt;=30,"18-30",IF(Table1[[#This Row],[Column1]]&lt;=50,"31-50","51+"))</f>
        <v>51+</v>
      </c>
      <c r="AK282" t="str">
        <f>IF(Table1[[#This Row],[WorkLifeBalance]]=1,"Poor",IF(Table1[[#This Row],[WorkLifeBalance]]=2,"Fair",IF(Table1[[#This Row],[WorkLifeBalance]]=3,"Good","Excellent")))</f>
        <v>Fair</v>
      </c>
    </row>
    <row r="283" spans="1:37" x14ac:dyDescent="0.3">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c r="AJ283" t="str">
        <f>IF(Table1[[#This Row],[Column1]]&lt;=30,"18-30",IF(Table1[[#This Row],[Column1]]&lt;=50,"31-50","51+"))</f>
        <v>31-50</v>
      </c>
      <c r="AK283" t="str">
        <f>IF(Table1[[#This Row],[WorkLifeBalance]]=1,"Poor",IF(Table1[[#This Row],[WorkLifeBalance]]=2,"Fair",IF(Table1[[#This Row],[WorkLifeBalance]]=3,"Good","Excellent")))</f>
        <v>Good</v>
      </c>
    </row>
    <row r="284" spans="1:37" x14ac:dyDescent="0.3">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c r="AJ284" t="str">
        <f>IF(Table1[[#This Row],[Column1]]&lt;=30,"18-30",IF(Table1[[#This Row],[Column1]]&lt;=50,"31-50","51+"))</f>
        <v>18-30</v>
      </c>
      <c r="AK284" t="str">
        <f>IF(Table1[[#This Row],[WorkLifeBalance]]=1,"Poor",IF(Table1[[#This Row],[WorkLifeBalance]]=2,"Fair",IF(Table1[[#This Row],[WorkLifeBalance]]=3,"Good","Excellent")))</f>
        <v>Fair</v>
      </c>
    </row>
    <row r="285" spans="1:37" x14ac:dyDescent="0.3">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c r="AJ285" t="str">
        <f>IF(Table1[[#This Row],[Column1]]&lt;=30,"18-30",IF(Table1[[#This Row],[Column1]]&lt;=50,"31-50","51+"))</f>
        <v>51+</v>
      </c>
      <c r="AK285" t="str">
        <f>IF(Table1[[#This Row],[WorkLifeBalance]]=1,"Poor",IF(Table1[[#This Row],[WorkLifeBalance]]=2,"Fair",IF(Table1[[#This Row],[WorkLifeBalance]]=3,"Good","Excellent")))</f>
        <v>Good</v>
      </c>
    </row>
    <row r="286" spans="1:37" x14ac:dyDescent="0.3">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c r="AJ286" t="str">
        <f>IF(Table1[[#This Row],[Column1]]&lt;=30,"18-30",IF(Table1[[#This Row],[Column1]]&lt;=50,"31-50","51+"))</f>
        <v>18-30</v>
      </c>
      <c r="AK286" t="str">
        <f>IF(Table1[[#This Row],[WorkLifeBalance]]=1,"Poor",IF(Table1[[#This Row],[WorkLifeBalance]]=2,"Fair",IF(Table1[[#This Row],[WorkLifeBalance]]=3,"Good","Excellent")))</f>
        <v>Good</v>
      </c>
    </row>
    <row r="287" spans="1:37" x14ac:dyDescent="0.3">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c r="AJ287" t="str">
        <f>IF(Table1[[#This Row],[Column1]]&lt;=30,"18-30",IF(Table1[[#This Row],[Column1]]&lt;=50,"31-50","51+"))</f>
        <v>31-50</v>
      </c>
      <c r="AK287" t="str">
        <f>IF(Table1[[#This Row],[WorkLifeBalance]]=1,"Poor",IF(Table1[[#This Row],[WorkLifeBalance]]=2,"Fair",IF(Table1[[#This Row],[WorkLifeBalance]]=3,"Good","Excellent")))</f>
        <v>Good</v>
      </c>
    </row>
    <row r="288" spans="1:37" x14ac:dyDescent="0.3">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c r="AJ288" t="str">
        <f>IF(Table1[[#This Row],[Column1]]&lt;=30,"18-30",IF(Table1[[#This Row],[Column1]]&lt;=50,"31-50","51+"))</f>
        <v>31-50</v>
      </c>
      <c r="AK288" t="str">
        <f>IF(Table1[[#This Row],[WorkLifeBalance]]=1,"Poor",IF(Table1[[#This Row],[WorkLifeBalance]]=2,"Fair",IF(Table1[[#This Row],[WorkLifeBalance]]=3,"Good","Excellent")))</f>
        <v>Poor</v>
      </c>
    </row>
    <row r="289" spans="1:37" x14ac:dyDescent="0.3">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c r="AJ289" t="str">
        <f>IF(Table1[[#This Row],[Column1]]&lt;=30,"18-30",IF(Table1[[#This Row],[Column1]]&lt;=50,"31-50","51+"))</f>
        <v>31-50</v>
      </c>
      <c r="AK289" t="str">
        <f>IF(Table1[[#This Row],[WorkLifeBalance]]=1,"Poor",IF(Table1[[#This Row],[WorkLifeBalance]]=2,"Fair",IF(Table1[[#This Row],[WorkLifeBalance]]=3,"Good","Excellent")))</f>
        <v>Good</v>
      </c>
    </row>
    <row r="290" spans="1:37" x14ac:dyDescent="0.3">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c r="AJ290" t="str">
        <f>IF(Table1[[#This Row],[Column1]]&lt;=30,"18-30",IF(Table1[[#This Row],[Column1]]&lt;=50,"31-50","51+"))</f>
        <v>18-30</v>
      </c>
      <c r="AK290" t="str">
        <f>IF(Table1[[#This Row],[WorkLifeBalance]]=1,"Poor",IF(Table1[[#This Row],[WorkLifeBalance]]=2,"Fair",IF(Table1[[#This Row],[WorkLifeBalance]]=3,"Good","Excellent")))</f>
        <v>Good</v>
      </c>
    </row>
    <row r="291" spans="1:37" x14ac:dyDescent="0.3">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c r="AJ291" t="str">
        <f>IF(Table1[[#This Row],[Column1]]&lt;=30,"18-30",IF(Table1[[#This Row],[Column1]]&lt;=50,"31-50","51+"))</f>
        <v>18-30</v>
      </c>
      <c r="AK291" t="str">
        <f>IF(Table1[[#This Row],[WorkLifeBalance]]=1,"Poor",IF(Table1[[#This Row],[WorkLifeBalance]]=2,"Fair",IF(Table1[[#This Row],[WorkLifeBalance]]=3,"Good","Excellent")))</f>
        <v>Good</v>
      </c>
    </row>
    <row r="292" spans="1:37" x14ac:dyDescent="0.3">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c r="AJ292" t="str">
        <f>IF(Table1[[#This Row],[Column1]]&lt;=30,"18-30",IF(Table1[[#This Row],[Column1]]&lt;=50,"31-50","51+"))</f>
        <v>31-50</v>
      </c>
      <c r="AK292" t="str">
        <f>IF(Table1[[#This Row],[WorkLifeBalance]]=1,"Poor",IF(Table1[[#This Row],[WorkLifeBalance]]=2,"Fair",IF(Table1[[#This Row],[WorkLifeBalance]]=3,"Good","Excellent")))</f>
        <v>Good</v>
      </c>
    </row>
    <row r="293" spans="1:37" x14ac:dyDescent="0.3">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c r="AJ293" t="str">
        <f>IF(Table1[[#This Row],[Column1]]&lt;=30,"18-30",IF(Table1[[#This Row],[Column1]]&lt;=50,"31-50","51+"))</f>
        <v>31-50</v>
      </c>
      <c r="AK293" t="str">
        <f>IF(Table1[[#This Row],[WorkLifeBalance]]=1,"Poor",IF(Table1[[#This Row],[WorkLifeBalance]]=2,"Fair",IF(Table1[[#This Row],[WorkLifeBalance]]=3,"Good","Excellent")))</f>
        <v>Good</v>
      </c>
    </row>
    <row r="294" spans="1:37" x14ac:dyDescent="0.3">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c r="AJ294" t="str">
        <f>IF(Table1[[#This Row],[Column1]]&lt;=30,"18-30",IF(Table1[[#This Row],[Column1]]&lt;=50,"31-50","51+"))</f>
        <v>31-50</v>
      </c>
      <c r="AK294" t="str">
        <f>IF(Table1[[#This Row],[WorkLifeBalance]]=1,"Poor",IF(Table1[[#This Row],[WorkLifeBalance]]=2,"Fair",IF(Table1[[#This Row],[WorkLifeBalance]]=3,"Good","Excellent")))</f>
        <v>Fair</v>
      </c>
    </row>
    <row r="295" spans="1:37" x14ac:dyDescent="0.3">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c r="AJ295" t="str">
        <f>IF(Table1[[#This Row],[Column1]]&lt;=30,"18-30",IF(Table1[[#This Row],[Column1]]&lt;=50,"31-50","51+"))</f>
        <v>18-30</v>
      </c>
      <c r="AK295" t="str">
        <f>IF(Table1[[#This Row],[WorkLifeBalance]]=1,"Poor",IF(Table1[[#This Row],[WorkLifeBalance]]=2,"Fair",IF(Table1[[#This Row],[WorkLifeBalance]]=3,"Good","Excellent")))</f>
        <v>Good</v>
      </c>
    </row>
    <row r="296" spans="1:37" x14ac:dyDescent="0.3">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c r="AJ296" t="str">
        <f>IF(Table1[[#This Row],[Column1]]&lt;=30,"18-30",IF(Table1[[#This Row],[Column1]]&lt;=50,"31-50","51+"))</f>
        <v>31-50</v>
      </c>
      <c r="AK296" t="str">
        <f>IF(Table1[[#This Row],[WorkLifeBalance]]=1,"Poor",IF(Table1[[#This Row],[WorkLifeBalance]]=2,"Fair",IF(Table1[[#This Row],[WorkLifeBalance]]=3,"Good","Excellent")))</f>
        <v>Fair</v>
      </c>
    </row>
    <row r="297" spans="1:37" x14ac:dyDescent="0.3">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c r="AJ297" t="str">
        <f>IF(Table1[[#This Row],[Column1]]&lt;=30,"18-30",IF(Table1[[#This Row],[Column1]]&lt;=50,"31-50","51+"))</f>
        <v>31-50</v>
      </c>
      <c r="AK297" t="str">
        <f>IF(Table1[[#This Row],[WorkLifeBalance]]=1,"Poor",IF(Table1[[#This Row],[WorkLifeBalance]]=2,"Fair",IF(Table1[[#This Row],[WorkLifeBalance]]=3,"Good","Excellent")))</f>
        <v>Excellent</v>
      </c>
    </row>
    <row r="298" spans="1:37" x14ac:dyDescent="0.3">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c r="AJ298" t="str">
        <f>IF(Table1[[#This Row],[Column1]]&lt;=30,"18-30",IF(Table1[[#This Row],[Column1]]&lt;=50,"31-50","51+"))</f>
        <v>18-30</v>
      </c>
      <c r="AK298" t="str">
        <f>IF(Table1[[#This Row],[WorkLifeBalance]]=1,"Poor",IF(Table1[[#This Row],[WorkLifeBalance]]=2,"Fair",IF(Table1[[#This Row],[WorkLifeBalance]]=3,"Good","Excellent")))</f>
        <v>Good</v>
      </c>
    </row>
    <row r="299" spans="1:37" x14ac:dyDescent="0.3">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c r="AJ299" t="str">
        <f>IF(Table1[[#This Row],[Column1]]&lt;=30,"18-30",IF(Table1[[#This Row],[Column1]]&lt;=50,"31-50","51+"))</f>
        <v>31-50</v>
      </c>
      <c r="AK299" t="str">
        <f>IF(Table1[[#This Row],[WorkLifeBalance]]=1,"Poor",IF(Table1[[#This Row],[WorkLifeBalance]]=2,"Fair",IF(Table1[[#This Row],[WorkLifeBalance]]=3,"Good","Excellent")))</f>
        <v>Fair</v>
      </c>
    </row>
    <row r="300" spans="1:37" x14ac:dyDescent="0.3">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c r="AJ300" t="str">
        <f>IF(Table1[[#This Row],[Column1]]&lt;=30,"18-30",IF(Table1[[#This Row],[Column1]]&lt;=50,"31-50","51+"))</f>
        <v>31-50</v>
      </c>
      <c r="AK300" t="str">
        <f>IF(Table1[[#This Row],[WorkLifeBalance]]=1,"Poor",IF(Table1[[#This Row],[WorkLifeBalance]]=2,"Fair",IF(Table1[[#This Row],[WorkLifeBalance]]=3,"Good","Excellent")))</f>
        <v>Good</v>
      </c>
    </row>
    <row r="301" spans="1:37" x14ac:dyDescent="0.3">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c r="AJ301" t="str">
        <f>IF(Table1[[#This Row],[Column1]]&lt;=30,"18-30",IF(Table1[[#This Row],[Column1]]&lt;=50,"31-50","51+"))</f>
        <v>51+</v>
      </c>
      <c r="AK301" t="str">
        <f>IF(Table1[[#This Row],[WorkLifeBalance]]=1,"Poor",IF(Table1[[#This Row],[WorkLifeBalance]]=2,"Fair",IF(Table1[[#This Row],[WorkLifeBalance]]=3,"Good","Excellent")))</f>
        <v>Good</v>
      </c>
    </row>
    <row r="302" spans="1:37" x14ac:dyDescent="0.3">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c r="AJ302" t="str">
        <f>IF(Table1[[#This Row],[Column1]]&lt;=30,"18-30",IF(Table1[[#This Row],[Column1]]&lt;=50,"31-50","51+"))</f>
        <v>31-50</v>
      </c>
      <c r="AK302" t="str">
        <f>IF(Table1[[#This Row],[WorkLifeBalance]]=1,"Poor",IF(Table1[[#This Row],[WorkLifeBalance]]=2,"Fair",IF(Table1[[#This Row],[WorkLifeBalance]]=3,"Good","Excellent")))</f>
        <v>Good</v>
      </c>
    </row>
    <row r="303" spans="1:37" x14ac:dyDescent="0.3">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c r="AJ303" t="str">
        <f>IF(Table1[[#This Row],[Column1]]&lt;=30,"18-30",IF(Table1[[#This Row],[Column1]]&lt;=50,"31-50","51+"))</f>
        <v>18-30</v>
      </c>
      <c r="AK303" t="str">
        <f>IF(Table1[[#This Row],[WorkLifeBalance]]=1,"Poor",IF(Table1[[#This Row],[WorkLifeBalance]]=2,"Fair",IF(Table1[[#This Row],[WorkLifeBalance]]=3,"Good","Excellent")))</f>
        <v>Good</v>
      </c>
    </row>
    <row r="304" spans="1:37" x14ac:dyDescent="0.3">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c r="AJ304" t="str">
        <f>IF(Table1[[#This Row],[Column1]]&lt;=30,"18-30",IF(Table1[[#This Row],[Column1]]&lt;=50,"31-50","51+"))</f>
        <v>18-30</v>
      </c>
      <c r="AK304" t="str">
        <f>IF(Table1[[#This Row],[WorkLifeBalance]]=1,"Poor",IF(Table1[[#This Row],[WorkLifeBalance]]=2,"Fair",IF(Table1[[#This Row],[WorkLifeBalance]]=3,"Good","Excellent")))</f>
        <v>Good</v>
      </c>
    </row>
    <row r="305" spans="1:37" x14ac:dyDescent="0.3">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c r="AJ305" t="str">
        <f>IF(Table1[[#This Row],[Column1]]&lt;=30,"18-30",IF(Table1[[#This Row],[Column1]]&lt;=50,"31-50","51+"))</f>
        <v>31-50</v>
      </c>
      <c r="AK305" t="str">
        <f>IF(Table1[[#This Row],[WorkLifeBalance]]=1,"Poor",IF(Table1[[#This Row],[WorkLifeBalance]]=2,"Fair",IF(Table1[[#This Row],[WorkLifeBalance]]=3,"Good","Excellent")))</f>
        <v>Fair</v>
      </c>
    </row>
    <row r="306" spans="1:37" x14ac:dyDescent="0.3">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c r="AJ306" t="str">
        <f>IF(Table1[[#This Row],[Column1]]&lt;=30,"18-30",IF(Table1[[#This Row],[Column1]]&lt;=50,"31-50","51+"))</f>
        <v>31-50</v>
      </c>
      <c r="AK306" t="str">
        <f>IF(Table1[[#This Row],[WorkLifeBalance]]=1,"Poor",IF(Table1[[#This Row],[WorkLifeBalance]]=2,"Fair",IF(Table1[[#This Row],[WorkLifeBalance]]=3,"Good","Excellent")))</f>
        <v>Fair</v>
      </c>
    </row>
    <row r="307" spans="1:37" x14ac:dyDescent="0.3">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c r="AJ307" t="str">
        <f>IF(Table1[[#This Row],[Column1]]&lt;=30,"18-30",IF(Table1[[#This Row],[Column1]]&lt;=50,"31-50","51+"))</f>
        <v>31-50</v>
      </c>
      <c r="AK307" t="str">
        <f>IF(Table1[[#This Row],[WorkLifeBalance]]=1,"Poor",IF(Table1[[#This Row],[WorkLifeBalance]]=2,"Fair",IF(Table1[[#This Row],[WorkLifeBalance]]=3,"Good","Excellent")))</f>
        <v>Good</v>
      </c>
    </row>
    <row r="308" spans="1:37" x14ac:dyDescent="0.3">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c r="AJ308" t="str">
        <f>IF(Table1[[#This Row],[Column1]]&lt;=30,"18-30",IF(Table1[[#This Row],[Column1]]&lt;=50,"31-50","51+"))</f>
        <v>31-50</v>
      </c>
      <c r="AK308" t="str">
        <f>IF(Table1[[#This Row],[WorkLifeBalance]]=1,"Poor",IF(Table1[[#This Row],[WorkLifeBalance]]=2,"Fair",IF(Table1[[#This Row],[WorkLifeBalance]]=3,"Good","Excellent")))</f>
        <v>Fair</v>
      </c>
    </row>
    <row r="309" spans="1:37" x14ac:dyDescent="0.3">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c r="AJ309" t="str">
        <f>IF(Table1[[#This Row],[Column1]]&lt;=30,"18-30",IF(Table1[[#This Row],[Column1]]&lt;=50,"31-50","51+"))</f>
        <v>31-50</v>
      </c>
      <c r="AK309" t="str">
        <f>IF(Table1[[#This Row],[WorkLifeBalance]]=1,"Poor",IF(Table1[[#This Row],[WorkLifeBalance]]=2,"Fair",IF(Table1[[#This Row],[WorkLifeBalance]]=3,"Good","Excellent")))</f>
        <v>Good</v>
      </c>
    </row>
    <row r="310" spans="1:37" x14ac:dyDescent="0.3">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c r="AJ310" t="str">
        <f>IF(Table1[[#This Row],[Column1]]&lt;=30,"18-30",IF(Table1[[#This Row],[Column1]]&lt;=50,"31-50","51+"))</f>
        <v>51+</v>
      </c>
      <c r="AK310" t="str">
        <f>IF(Table1[[#This Row],[WorkLifeBalance]]=1,"Poor",IF(Table1[[#This Row],[WorkLifeBalance]]=2,"Fair",IF(Table1[[#This Row],[WorkLifeBalance]]=3,"Good","Excellent")))</f>
        <v>Good</v>
      </c>
    </row>
    <row r="311" spans="1:37" x14ac:dyDescent="0.3">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c r="AJ311" t="str">
        <f>IF(Table1[[#This Row],[Column1]]&lt;=30,"18-30",IF(Table1[[#This Row],[Column1]]&lt;=50,"31-50","51+"))</f>
        <v>31-50</v>
      </c>
      <c r="AK311" t="str">
        <f>IF(Table1[[#This Row],[WorkLifeBalance]]=1,"Poor",IF(Table1[[#This Row],[WorkLifeBalance]]=2,"Fair",IF(Table1[[#This Row],[WorkLifeBalance]]=3,"Good","Excellent")))</f>
        <v>Good</v>
      </c>
    </row>
    <row r="312" spans="1:37" x14ac:dyDescent="0.3">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c r="AJ312" t="str">
        <f>IF(Table1[[#This Row],[Column1]]&lt;=30,"18-30",IF(Table1[[#This Row],[Column1]]&lt;=50,"31-50","51+"))</f>
        <v>31-50</v>
      </c>
      <c r="AK312" t="str">
        <f>IF(Table1[[#This Row],[WorkLifeBalance]]=1,"Poor",IF(Table1[[#This Row],[WorkLifeBalance]]=2,"Fair",IF(Table1[[#This Row],[WorkLifeBalance]]=3,"Good","Excellent")))</f>
        <v>Good</v>
      </c>
    </row>
    <row r="313" spans="1:37" x14ac:dyDescent="0.3">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c r="AJ313" t="str">
        <f>IF(Table1[[#This Row],[Column1]]&lt;=30,"18-30",IF(Table1[[#This Row],[Column1]]&lt;=50,"31-50","51+"))</f>
        <v>31-50</v>
      </c>
      <c r="AK313" t="str">
        <f>IF(Table1[[#This Row],[WorkLifeBalance]]=1,"Poor",IF(Table1[[#This Row],[WorkLifeBalance]]=2,"Fair",IF(Table1[[#This Row],[WorkLifeBalance]]=3,"Good","Excellent")))</f>
        <v>Good</v>
      </c>
    </row>
    <row r="314" spans="1:37" x14ac:dyDescent="0.3">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c r="AJ314" t="str">
        <f>IF(Table1[[#This Row],[Column1]]&lt;=30,"18-30",IF(Table1[[#This Row],[Column1]]&lt;=50,"31-50","51+"))</f>
        <v>31-50</v>
      </c>
      <c r="AK314" t="str">
        <f>IF(Table1[[#This Row],[WorkLifeBalance]]=1,"Poor",IF(Table1[[#This Row],[WorkLifeBalance]]=2,"Fair",IF(Table1[[#This Row],[WorkLifeBalance]]=3,"Good","Excellent")))</f>
        <v>Poor</v>
      </c>
    </row>
    <row r="315" spans="1:37" x14ac:dyDescent="0.3">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c r="AJ315" t="str">
        <f>IF(Table1[[#This Row],[Column1]]&lt;=30,"18-30",IF(Table1[[#This Row],[Column1]]&lt;=50,"31-50","51+"))</f>
        <v>31-50</v>
      </c>
      <c r="AK315" t="str">
        <f>IF(Table1[[#This Row],[WorkLifeBalance]]=1,"Poor",IF(Table1[[#This Row],[WorkLifeBalance]]=2,"Fair",IF(Table1[[#This Row],[WorkLifeBalance]]=3,"Good","Excellent")))</f>
        <v>Good</v>
      </c>
    </row>
    <row r="316" spans="1:37" x14ac:dyDescent="0.3">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c r="AJ316" t="str">
        <f>IF(Table1[[#This Row],[Column1]]&lt;=30,"18-30",IF(Table1[[#This Row],[Column1]]&lt;=50,"31-50","51+"))</f>
        <v>31-50</v>
      </c>
      <c r="AK316" t="str">
        <f>IF(Table1[[#This Row],[WorkLifeBalance]]=1,"Poor",IF(Table1[[#This Row],[WorkLifeBalance]]=2,"Fair",IF(Table1[[#This Row],[WorkLifeBalance]]=3,"Good","Excellent")))</f>
        <v>Good</v>
      </c>
    </row>
    <row r="317" spans="1:37" x14ac:dyDescent="0.3">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c r="AJ317" t="str">
        <f>IF(Table1[[#This Row],[Column1]]&lt;=30,"18-30",IF(Table1[[#This Row],[Column1]]&lt;=50,"31-50","51+"))</f>
        <v>31-50</v>
      </c>
      <c r="AK317" t="str">
        <f>IF(Table1[[#This Row],[WorkLifeBalance]]=1,"Poor",IF(Table1[[#This Row],[WorkLifeBalance]]=2,"Fair",IF(Table1[[#This Row],[WorkLifeBalance]]=3,"Good","Excellent")))</f>
        <v>Good</v>
      </c>
    </row>
    <row r="318" spans="1:37" x14ac:dyDescent="0.3">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c r="AJ318" t="str">
        <f>IF(Table1[[#This Row],[Column1]]&lt;=30,"18-30",IF(Table1[[#This Row],[Column1]]&lt;=50,"31-50","51+"))</f>
        <v>31-50</v>
      </c>
      <c r="AK318" t="str">
        <f>IF(Table1[[#This Row],[WorkLifeBalance]]=1,"Poor",IF(Table1[[#This Row],[WorkLifeBalance]]=2,"Fair",IF(Table1[[#This Row],[WorkLifeBalance]]=3,"Good","Excellent")))</f>
        <v>Good</v>
      </c>
    </row>
    <row r="319" spans="1:37" x14ac:dyDescent="0.3">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c r="AJ319" t="str">
        <f>IF(Table1[[#This Row],[Column1]]&lt;=30,"18-30",IF(Table1[[#This Row],[Column1]]&lt;=50,"31-50","51+"))</f>
        <v>51+</v>
      </c>
      <c r="AK319" t="str">
        <f>IF(Table1[[#This Row],[WorkLifeBalance]]=1,"Poor",IF(Table1[[#This Row],[WorkLifeBalance]]=2,"Fair",IF(Table1[[#This Row],[WorkLifeBalance]]=3,"Good","Excellent")))</f>
        <v>Fair</v>
      </c>
    </row>
    <row r="320" spans="1:37" x14ac:dyDescent="0.3">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c r="AJ320" t="str">
        <f>IF(Table1[[#This Row],[Column1]]&lt;=30,"18-30",IF(Table1[[#This Row],[Column1]]&lt;=50,"31-50","51+"))</f>
        <v>18-30</v>
      </c>
      <c r="AK320" t="str">
        <f>IF(Table1[[#This Row],[WorkLifeBalance]]=1,"Poor",IF(Table1[[#This Row],[WorkLifeBalance]]=2,"Fair",IF(Table1[[#This Row],[WorkLifeBalance]]=3,"Good","Excellent")))</f>
        <v>Fair</v>
      </c>
    </row>
    <row r="321" spans="1:37" x14ac:dyDescent="0.3">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c r="AJ321" t="str">
        <f>IF(Table1[[#This Row],[Column1]]&lt;=30,"18-30",IF(Table1[[#This Row],[Column1]]&lt;=50,"31-50","51+"))</f>
        <v>31-50</v>
      </c>
      <c r="AK321" t="str">
        <f>IF(Table1[[#This Row],[WorkLifeBalance]]=1,"Poor",IF(Table1[[#This Row],[WorkLifeBalance]]=2,"Fair",IF(Table1[[#This Row],[WorkLifeBalance]]=3,"Good","Excellent")))</f>
        <v>Good</v>
      </c>
    </row>
    <row r="322" spans="1:37" x14ac:dyDescent="0.3">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c r="AJ322" t="str">
        <f>IF(Table1[[#This Row],[Column1]]&lt;=30,"18-30",IF(Table1[[#This Row],[Column1]]&lt;=50,"31-50","51+"))</f>
        <v>18-30</v>
      </c>
      <c r="AK322" t="str">
        <f>IF(Table1[[#This Row],[WorkLifeBalance]]=1,"Poor",IF(Table1[[#This Row],[WorkLifeBalance]]=2,"Fair",IF(Table1[[#This Row],[WorkLifeBalance]]=3,"Good","Excellent")))</f>
        <v>Good</v>
      </c>
    </row>
    <row r="323" spans="1:37" x14ac:dyDescent="0.3">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c r="AJ323" t="str">
        <f>IF(Table1[[#This Row],[Column1]]&lt;=30,"18-30",IF(Table1[[#This Row],[Column1]]&lt;=50,"31-50","51+"))</f>
        <v>31-50</v>
      </c>
      <c r="AK323" t="str">
        <f>IF(Table1[[#This Row],[WorkLifeBalance]]=1,"Poor",IF(Table1[[#This Row],[WorkLifeBalance]]=2,"Fair",IF(Table1[[#This Row],[WorkLifeBalance]]=3,"Good","Excellent")))</f>
        <v>Good</v>
      </c>
    </row>
    <row r="324" spans="1:37" x14ac:dyDescent="0.3">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c r="AJ324" t="str">
        <f>IF(Table1[[#This Row],[Column1]]&lt;=30,"18-30",IF(Table1[[#This Row],[Column1]]&lt;=50,"31-50","51+"))</f>
        <v>31-50</v>
      </c>
      <c r="AK324" t="str">
        <f>IF(Table1[[#This Row],[WorkLifeBalance]]=1,"Poor",IF(Table1[[#This Row],[WorkLifeBalance]]=2,"Fair",IF(Table1[[#This Row],[WorkLifeBalance]]=3,"Good","Excellent")))</f>
        <v>Fair</v>
      </c>
    </row>
    <row r="325" spans="1:37" x14ac:dyDescent="0.3">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c r="AJ325" t="str">
        <f>IF(Table1[[#This Row],[Column1]]&lt;=30,"18-30",IF(Table1[[#This Row],[Column1]]&lt;=50,"31-50","51+"))</f>
        <v>18-30</v>
      </c>
      <c r="AK325" t="str">
        <f>IF(Table1[[#This Row],[WorkLifeBalance]]=1,"Poor",IF(Table1[[#This Row],[WorkLifeBalance]]=2,"Fair",IF(Table1[[#This Row],[WorkLifeBalance]]=3,"Good","Excellent")))</f>
        <v>Fair</v>
      </c>
    </row>
    <row r="326" spans="1:37" x14ac:dyDescent="0.3">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c r="AJ326" t="str">
        <f>IF(Table1[[#This Row],[Column1]]&lt;=30,"18-30",IF(Table1[[#This Row],[Column1]]&lt;=50,"31-50","51+"))</f>
        <v>18-30</v>
      </c>
      <c r="AK326" t="str">
        <f>IF(Table1[[#This Row],[WorkLifeBalance]]=1,"Poor",IF(Table1[[#This Row],[WorkLifeBalance]]=2,"Fair",IF(Table1[[#This Row],[WorkLifeBalance]]=3,"Good","Excellent")))</f>
        <v>Good</v>
      </c>
    </row>
    <row r="327" spans="1:37" x14ac:dyDescent="0.3">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c r="AJ327" t="str">
        <f>IF(Table1[[#This Row],[Column1]]&lt;=30,"18-30",IF(Table1[[#This Row],[Column1]]&lt;=50,"31-50","51+"))</f>
        <v>31-50</v>
      </c>
      <c r="AK327" t="str">
        <f>IF(Table1[[#This Row],[WorkLifeBalance]]=1,"Poor",IF(Table1[[#This Row],[WorkLifeBalance]]=2,"Fair",IF(Table1[[#This Row],[WorkLifeBalance]]=3,"Good","Excellent")))</f>
        <v>Good</v>
      </c>
    </row>
    <row r="328" spans="1:37" x14ac:dyDescent="0.3">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c r="AJ328" t="str">
        <f>IF(Table1[[#This Row],[Column1]]&lt;=30,"18-30",IF(Table1[[#This Row],[Column1]]&lt;=50,"31-50","51+"))</f>
        <v>31-50</v>
      </c>
      <c r="AK328" t="str">
        <f>IF(Table1[[#This Row],[WorkLifeBalance]]=1,"Poor",IF(Table1[[#This Row],[WorkLifeBalance]]=2,"Fair",IF(Table1[[#This Row],[WorkLifeBalance]]=3,"Good","Excellent")))</f>
        <v>Good</v>
      </c>
    </row>
    <row r="329" spans="1:37" x14ac:dyDescent="0.3">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c r="AJ329" t="str">
        <f>IF(Table1[[#This Row],[Column1]]&lt;=30,"18-30",IF(Table1[[#This Row],[Column1]]&lt;=50,"31-50","51+"))</f>
        <v>31-50</v>
      </c>
      <c r="AK329" t="str">
        <f>IF(Table1[[#This Row],[WorkLifeBalance]]=1,"Poor",IF(Table1[[#This Row],[WorkLifeBalance]]=2,"Fair",IF(Table1[[#This Row],[WorkLifeBalance]]=3,"Good","Excellent")))</f>
        <v>Fair</v>
      </c>
    </row>
    <row r="330" spans="1:37" x14ac:dyDescent="0.3">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c r="AJ330" t="str">
        <f>IF(Table1[[#This Row],[Column1]]&lt;=30,"18-30",IF(Table1[[#This Row],[Column1]]&lt;=50,"31-50","51+"))</f>
        <v>31-50</v>
      </c>
      <c r="AK330" t="str">
        <f>IF(Table1[[#This Row],[WorkLifeBalance]]=1,"Poor",IF(Table1[[#This Row],[WorkLifeBalance]]=2,"Fair",IF(Table1[[#This Row],[WorkLifeBalance]]=3,"Good","Excellent")))</f>
        <v>Fair</v>
      </c>
    </row>
    <row r="331" spans="1:37" x14ac:dyDescent="0.3">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c r="AJ331" t="str">
        <f>IF(Table1[[#This Row],[Column1]]&lt;=30,"18-30",IF(Table1[[#This Row],[Column1]]&lt;=50,"31-50","51+"))</f>
        <v>31-50</v>
      </c>
      <c r="AK331" t="str">
        <f>IF(Table1[[#This Row],[WorkLifeBalance]]=1,"Poor",IF(Table1[[#This Row],[WorkLifeBalance]]=2,"Fair",IF(Table1[[#This Row],[WorkLifeBalance]]=3,"Good","Excellent")))</f>
        <v>Good</v>
      </c>
    </row>
    <row r="332" spans="1:37" x14ac:dyDescent="0.3">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c r="AJ332" t="str">
        <f>IF(Table1[[#This Row],[Column1]]&lt;=30,"18-30",IF(Table1[[#This Row],[Column1]]&lt;=50,"31-50","51+"))</f>
        <v>31-50</v>
      </c>
      <c r="AK332" t="str">
        <f>IF(Table1[[#This Row],[WorkLifeBalance]]=1,"Poor",IF(Table1[[#This Row],[WorkLifeBalance]]=2,"Fair",IF(Table1[[#This Row],[WorkLifeBalance]]=3,"Good","Excellent")))</f>
        <v>Excellent</v>
      </c>
    </row>
    <row r="333" spans="1:37" x14ac:dyDescent="0.3">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c r="AJ333" t="str">
        <f>IF(Table1[[#This Row],[Column1]]&lt;=30,"18-30",IF(Table1[[#This Row],[Column1]]&lt;=50,"31-50","51+"))</f>
        <v>18-30</v>
      </c>
      <c r="AK333" t="str">
        <f>IF(Table1[[#This Row],[WorkLifeBalance]]=1,"Poor",IF(Table1[[#This Row],[WorkLifeBalance]]=2,"Fair",IF(Table1[[#This Row],[WorkLifeBalance]]=3,"Good","Excellent")))</f>
        <v>Good</v>
      </c>
    </row>
    <row r="334" spans="1:37" x14ac:dyDescent="0.3">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c r="AJ334" t="str">
        <f>IF(Table1[[#This Row],[Column1]]&lt;=30,"18-30",IF(Table1[[#This Row],[Column1]]&lt;=50,"31-50","51+"))</f>
        <v>51+</v>
      </c>
      <c r="AK334" t="str">
        <f>IF(Table1[[#This Row],[WorkLifeBalance]]=1,"Poor",IF(Table1[[#This Row],[WorkLifeBalance]]=2,"Fair",IF(Table1[[#This Row],[WorkLifeBalance]]=3,"Good","Excellent")))</f>
        <v>Fair</v>
      </c>
    </row>
    <row r="335" spans="1:37" x14ac:dyDescent="0.3">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c r="AJ335" t="str">
        <f>IF(Table1[[#This Row],[Column1]]&lt;=30,"18-30",IF(Table1[[#This Row],[Column1]]&lt;=50,"31-50","51+"))</f>
        <v>31-50</v>
      </c>
      <c r="AK335" t="str">
        <f>IF(Table1[[#This Row],[WorkLifeBalance]]=1,"Poor",IF(Table1[[#This Row],[WorkLifeBalance]]=2,"Fair",IF(Table1[[#This Row],[WorkLifeBalance]]=3,"Good","Excellent")))</f>
        <v>Fair</v>
      </c>
    </row>
    <row r="336" spans="1:37" x14ac:dyDescent="0.3">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c r="AJ336" t="str">
        <f>IF(Table1[[#This Row],[Column1]]&lt;=30,"18-30",IF(Table1[[#This Row],[Column1]]&lt;=50,"31-50","51+"))</f>
        <v>31-50</v>
      </c>
      <c r="AK336" t="str">
        <f>IF(Table1[[#This Row],[WorkLifeBalance]]=1,"Poor",IF(Table1[[#This Row],[WorkLifeBalance]]=2,"Fair",IF(Table1[[#This Row],[WorkLifeBalance]]=3,"Good","Excellent")))</f>
        <v>Good</v>
      </c>
    </row>
    <row r="337" spans="1:37" x14ac:dyDescent="0.3">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c r="AJ337" t="str">
        <f>IF(Table1[[#This Row],[Column1]]&lt;=30,"18-30",IF(Table1[[#This Row],[Column1]]&lt;=50,"31-50","51+"))</f>
        <v>31-50</v>
      </c>
      <c r="AK337" t="str">
        <f>IF(Table1[[#This Row],[WorkLifeBalance]]=1,"Poor",IF(Table1[[#This Row],[WorkLifeBalance]]=2,"Fair",IF(Table1[[#This Row],[WorkLifeBalance]]=3,"Good","Excellent")))</f>
        <v>Fair</v>
      </c>
    </row>
    <row r="338" spans="1:37" x14ac:dyDescent="0.3">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c r="AJ338" t="str">
        <f>IF(Table1[[#This Row],[Column1]]&lt;=30,"18-30",IF(Table1[[#This Row],[Column1]]&lt;=50,"31-50","51+"))</f>
        <v>18-30</v>
      </c>
      <c r="AK338" t="str">
        <f>IF(Table1[[#This Row],[WorkLifeBalance]]=1,"Poor",IF(Table1[[#This Row],[WorkLifeBalance]]=2,"Fair",IF(Table1[[#This Row],[WorkLifeBalance]]=3,"Good","Excellent")))</f>
        <v>Fair</v>
      </c>
    </row>
    <row r="339" spans="1:37" x14ac:dyDescent="0.3">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c r="AJ339" t="str">
        <f>IF(Table1[[#This Row],[Column1]]&lt;=30,"18-30",IF(Table1[[#This Row],[Column1]]&lt;=50,"31-50","51+"))</f>
        <v>18-30</v>
      </c>
      <c r="AK339" t="str">
        <f>IF(Table1[[#This Row],[WorkLifeBalance]]=1,"Poor",IF(Table1[[#This Row],[WorkLifeBalance]]=2,"Fair",IF(Table1[[#This Row],[WorkLifeBalance]]=3,"Good","Excellent")))</f>
        <v>Good</v>
      </c>
    </row>
    <row r="340" spans="1:37" x14ac:dyDescent="0.3">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c r="AJ340" t="str">
        <f>IF(Table1[[#This Row],[Column1]]&lt;=30,"18-30",IF(Table1[[#This Row],[Column1]]&lt;=50,"31-50","51+"))</f>
        <v>18-30</v>
      </c>
      <c r="AK340" t="str">
        <f>IF(Table1[[#This Row],[WorkLifeBalance]]=1,"Poor",IF(Table1[[#This Row],[WorkLifeBalance]]=2,"Fair",IF(Table1[[#This Row],[WorkLifeBalance]]=3,"Good","Excellent")))</f>
        <v>Good</v>
      </c>
    </row>
    <row r="341" spans="1:37" x14ac:dyDescent="0.3">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c r="AJ341" t="str">
        <f>IF(Table1[[#This Row],[Column1]]&lt;=30,"18-30",IF(Table1[[#This Row],[Column1]]&lt;=50,"31-50","51+"))</f>
        <v>18-30</v>
      </c>
      <c r="AK341" t="str">
        <f>IF(Table1[[#This Row],[WorkLifeBalance]]=1,"Poor",IF(Table1[[#This Row],[WorkLifeBalance]]=2,"Fair",IF(Table1[[#This Row],[WorkLifeBalance]]=3,"Good","Excellent")))</f>
        <v>Good</v>
      </c>
    </row>
    <row r="342" spans="1:37" x14ac:dyDescent="0.3">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c r="AJ342" t="str">
        <f>IF(Table1[[#This Row],[Column1]]&lt;=30,"18-30",IF(Table1[[#This Row],[Column1]]&lt;=50,"31-50","51+"))</f>
        <v>31-50</v>
      </c>
      <c r="AK342" t="str">
        <f>IF(Table1[[#This Row],[WorkLifeBalance]]=1,"Poor",IF(Table1[[#This Row],[WorkLifeBalance]]=2,"Fair",IF(Table1[[#This Row],[WorkLifeBalance]]=3,"Good","Excellent")))</f>
        <v>Fair</v>
      </c>
    </row>
    <row r="343" spans="1:37" x14ac:dyDescent="0.3">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c r="AJ343" t="str">
        <f>IF(Table1[[#This Row],[Column1]]&lt;=30,"18-30",IF(Table1[[#This Row],[Column1]]&lt;=50,"31-50","51+"))</f>
        <v>31-50</v>
      </c>
      <c r="AK343" t="str">
        <f>IF(Table1[[#This Row],[WorkLifeBalance]]=1,"Poor",IF(Table1[[#This Row],[WorkLifeBalance]]=2,"Fair",IF(Table1[[#This Row],[WorkLifeBalance]]=3,"Good","Excellent")))</f>
        <v>Good</v>
      </c>
    </row>
    <row r="344" spans="1:37" x14ac:dyDescent="0.3">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c r="AJ344" t="str">
        <f>IF(Table1[[#This Row],[Column1]]&lt;=30,"18-30",IF(Table1[[#This Row],[Column1]]&lt;=50,"31-50","51+"))</f>
        <v>31-50</v>
      </c>
      <c r="AK344" t="str">
        <f>IF(Table1[[#This Row],[WorkLifeBalance]]=1,"Poor",IF(Table1[[#This Row],[WorkLifeBalance]]=2,"Fair",IF(Table1[[#This Row],[WorkLifeBalance]]=3,"Good","Excellent")))</f>
        <v>Fair</v>
      </c>
    </row>
    <row r="345" spans="1:37" x14ac:dyDescent="0.3">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c r="AJ345" t="str">
        <f>IF(Table1[[#This Row],[Column1]]&lt;=30,"18-30",IF(Table1[[#This Row],[Column1]]&lt;=50,"31-50","51+"))</f>
        <v>18-30</v>
      </c>
      <c r="AK345" t="str">
        <f>IF(Table1[[#This Row],[WorkLifeBalance]]=1,"Poor",IF(Table1[[#This Row],[WorkLifeBalance]]=2,"Fair",IF(Table1[[#This Row],[WorkLifeBalance]]=3,"Good","Excellent")))</f>
        <v>Good</v>
      </c>
    </row>
    <row r="346" spans="1:37" x14ac:dyDescent="0.3">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c r="AJ346" t="str">
        <f>IF(Table1[[#This Row],[Column1]]&lt;=30,"18-30",IF(Table1[[#This Row],[Column1]]&lt;=50,"31-50","51+"))</f>
        <v>31-50</v>
      </c>
      <c r="AK346" t="str">
        <f>IF(Table1[[#This Row],[WorkLifeBalance]]=1,"Poor",IF(Table1[[#This Row],[WorkLifeBalance]]=2,"Fair",IF(Table1[[#This Row],[WorkLifeBalance]]=3,"Good","Excellent")))</f>
        <v>Good</v>
      </c>
    </row>
    <row r="347" spans="1:37" x14ac:dyDescent="0.3">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c r="AJ347" t="str">
        <f>IF(Table1[[#This Row],[Column1]]&lt;=30,"18-30",IF(Table1[[#This Row],[Column1]]&lt;=50,"31-50","51+"))</f>
        <v>18-30</v>
      </c>
      <c r="AK347" t="str">
        <f>IF(Table1[[#This Row],[WorkLifeBalance]]=1,"Poor",IF(Table1[[#This Row],[WorkLifeBalance]]=2,"Fair",IF(Table1[[#This Row],[WorkLifeBalance]]=3,"Good","Excellent")))</f>
        <v>Fair</v>
      </c>
    </row>
    <row r="348" spans="1:37" x14ac:dyDescent="0.3">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c r="AJ348" t="str">
        <f>IF(Table1[[#This Row],[Column1]]&lt;=30,"18-30",IF(Table1[[#This Row],[Column1]]&lt;=50,"31-50","51+"))</f>
        <v>31-50</v>
      </c>
      <c r="AK348" t="str">
        <f>IF(Table1[[#This Row],[WorkLifeBalance]]=1,"Poor",IF(Table1[[#This Row],[WorkLifeBalance]]=2,"Fair",IF(Table1[[#This Row],[WorkLifeBalance]]=3,"Good","Excellent")))</f>
        <v>Good</v>
      </c>
    </row>
    <row r="349" spans="1:37" x14ac:dyDescent="0.3">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c r="AJ349" t="str">
        <f>IF(Table1[[#This Row],[Column1]]&lt;=30,"18-30",IF(Table1[[#This Row],[Column1]]&lt;=50,"31-50","51+"))</f>
        <v>31-50</v>
      </c>
      <c r="AK349" t="str">
        <f>IF(Table1[[#This Row],[WorkLifeBalance]]=1,"Poor",IF(Table1[[#This Row],[WorkLifeBalance]]=2,"Fair",IF(Table1[[#This Row],[WorkLifeBalance]]=3,"Good","Excellent")))</f>
        <v>Good</v>
      </c>
    </row>
    <row r="350" spans="1:37" x14ac:dyDescent="0.3">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c r="AJ350" t="str">
        <f>IF(Table1[[#This Row],[Column1]]&lt;=30,"18-30",IF(Table1[[#This Row],[Column1]]&lt;=50,"31-50","51+"))</f>
        <v>31-50</v>
      </c>
      <c r="AK350" t="str">
        <f>IF(Table1[[#This Row],[WorkLifeBalance]]=1,"Poor",IF(Table1[[#This Row],[WorkLifeBalance]]=2,"Fair",IF(Table1[[#This Row],[WorkLifeBalance]]=3,"Good","Excellent")))</f>
        <v>Good</v>
      </c>
    </row>
    <row r="351" spans="1:37" x14ac:dyDescent="0.3">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c r="AJ351" t="str">
        <f>IF(Table1[[#This Row],[Column1]]&lt;=30,"18-30",IF(Table1[[#This Row],[Column1]]&lt;=50,"31-50","51+"))</f>
        <v>18-30</v>
      </c>
      <c r="AK351" t="str">
        <f>IF(Table1[[#This Row],[WorkLifeBalance]]=1,"Poor",IF(Table1[[#This Row],[WorkLifeBalance]]=2,"Fair",IF(Table1[[#This Row],[WorkLifeBalance]]=3,"Good","Excellent")))</f>
        <v>Fair</v>
      </c>
    </row>
    <row r="352" spans="1:37" x14ac:dyDescent="0.3">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c r="AJ352" t="str">
        <f>IF(Table1[[#This Row],[Column1]]&lt;=30,"18-30",IF(Table1[[#This Row],[Column1]]&lt;=50,"31-50","51+"))</f>
        <v>31-50</v>
      </c>
      <c r="AK352" t="str">
        <f>IF(Table1[[#This Row],[WorkLifeBalance]]=1,"Poor",IF(Table1[[#This Row],[WorkLifeBalance]]=2,"Fair",IF(Table1[[#This Row],[WorkLifeBalance]]=3,"Good","Excellent")))</f>
        <v>Good</v>
      </c>
    </row>
    <row r="353" spans="1:37" x14ac:dyDescent="0.3">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c r="AJ353" t="str">
        <f>IF(Table1[[#This Row],[Column1]]&lt;=30,"18-30",IF(Table1[[#This Row],[Column1]]&lt;=50,"31-50","51+"))</f>
        <v>31-50</v>
      </c>
      <c r="AK353" t="str">
        <f>IF(Table1[[#This Row],[WorkLifeBalance]]=1,"Poor",IF(Table1[[#This Row],[WorkLifeBalance]]=2,"Fair",IF(Table1[[#This Row],[WorkLifeBalance]]=3,"Good","Excellent")))</f>
        <v>Good</v>
      </c>
    </row>
    <row r="354" spans="1:37" x14ac:dyDescent="0.3">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c r="AJ354" t="str">
        <f>IF(Table1[[#This Row],[Column1]]&lt;=30,"18-30",IF(Table1[[#This Row],[Column1]]&lt;=50,"31-50","51+"))</f>
        <v>31-50</v>
      </c>
      <c r="AK354" t="str">
        <f>IF(Table1[[#This Row],[WorkLifeBalance]]=1,"Poor",IF(Table1[[#This Row],[WorkLifeBalance]]=2,"Fair",IF(Table1[[#This Row],[WorkLifeBalance]]=3,"Good","Excellent")))</f>
        <v>Poor</v>
      </c>
    </row>
    <row r="355" spans="1:37" x14ac:dyDescent="0.3">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c r="AJ355" t="str">
        <f>IF(Table1[[#This Row],[Column1]]&lt;=30,"18-30",IF(Table1[[#This Row],[Column1]]&lt;=50,"31-50","51+"))</f>
        <v>31-50</v>
      </c>
      <c r="AK355" t="str">
        <f>IF(Table1[[#This Row],[WorkLifeBalance]]=1,"Poor",IF(Table1[[#This Row],[WorkLifeBalance]]=2,"Fair",IF(Table1[[#This Row],[WorkLifeBalance]]=3,"Good","Excellent")))</f>
        <v>Good</v>
      </c>
    </row>
    <row r="356" spans="1:37" x14ac:dyDescent="0.3">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c r="AJ356" t="str">
        <f>IF(Table1[[#This Row],[Column1]]&lt;=30,"18-30",IF(Table1[[#This Row],[Column1]]&lt;=50,"31-50","51+"))</f>
        <v>18-30</v>
      </c>
      <c r="AK356" t="str">
        <f>IF(Table1[[#This Row],[WorkLifeBalance]]=1,"Poor",IF(Table1[[#This Row],[WorkLifeBalance]]=2,"Fair",IF(Table1[[#This Row],[WorkLifeBalance]]=3,"Good","Excellent")))</f>
        <v>Excellent</v>
      </c>
    </row>
    <row r="357" spans="1:37" x14ac:dyDescent="0.3">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c r="AJ357" t="str">
        <f>IF(Table1[[#This Row],[Column1]]&lt;=30,"18-30",IF(Table1[[#This Row],[Column1]]&lt;=50,"31-50","51+"))</f>
        <v>18-30</v>
      </c>
      <c r="AK357" t="str">
        <f>IF(Table1[[#This Row],[WorkLifeBalance]]=1,"Poor",IF(Table1[[#This Row],[WorkLifeBalance]]=2,"Fair",IF(Table1[[#This Row],[WorkLifeBalance]]=3,"Good","Excellent")))</f>
        <v>Good</v>
      </c>
    </row>
    <row r="358" spans="1:37" x14ac:dyDescent="0.3">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c r="AJ358" t="str">
        <f>IF(Table1[[#This Row],[Column1]]&lt;=30,"18-30",IF(Table1[[#This Row],[Column1]]&lt;=50,"31-50","51+"))</f>
        <v>31-50</v>
      </c>
      <c r="AK358" t="str">
        <f>IF(Table1[[#This Row],[WorkLifeBalance]]=1,"Poor",IF(Table1[[#This Row],[WorkLifeBalance]]=2,"Fair",IF(Table1[[#This Row],[WorkLifeBalance]]=3,"Good","Excellent")))</f>
        <v>Good</v>
      </c>
    </row>
    <row r="359" spans="1:37" x14ac:dyDescent="0.3">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c r="AJ359" t="str">
        <f>IF(Table1[[#This Row],[Column1]]&lt;=30,"18-30",IF(Table1[[#This Row],[Column1]]&lt;=50,"31-50","51+"))</f>
        <v>18-30</v>
      </c>
      <c r="AK359" t="str">
        <f>IF(Table1[[#This Row],[WorkLifeBalance]]=1,"Poor",IF(Table1[[#This Row],[WorkLifeBalance]]=2,"Fair",IF(Table1[[#This Row],[WorkLifeBalance]]=3,"Good","Excellent")))</f>
        <v>Good</v>
      </c>
    </row>
    <row r="360" spans="1:37" x14ac:dyDescent="0.3">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c r="AJ360" t="str">
        <f>IF(Table1[[#This Row],[Column1]]&lt;=30,"18-30",IF(Table1[[#This Row],[Column1]]&lt;=50,"31-50","51+"))</f>
        <v>31-50</v>
      </c>
      <c r="AK360" t="str">
        <f>IF(Table1[[#This Row],[WorkLifeBalance]]=1,"Poor",IF(Table1[[#This Row],[WorkLifeBalance]]=2,"Fair",IF(Table1[[#This Row],[WorkLifeBalance]]=3,"Good","Excellent")))</f>
        <v>Good</v>
      </c>
    </row>
    <row r="361" spans="1:37" x14ac:dyDescent="0.3">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c r="AJ361" t="str">
        <f>IF(Table1[[#This Row],[Column1]]&lt;=30,"18-30",IF(Table1[[#This Row],[Column1]]&lt;=50,"31-50","51+"))</f>
        <v>31-50</v>
      </c>
      <c r="AK361" t="str">
        <f>IF(Table1[[#This Row],[WorkLifeBalance]]=1,"Poor",IF(Table1[[#This Row],[WorkLifeBalance]]=2,"Fair",IF(Table1[[#This Row],[WorkLifeBalance]]=3,"Good","Excellent")))</f>
        <v>Good</v>
      </c>
    </row>
    <row r="362" spans="1:37" x14ac:dyDescent="0.3">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c r="AJ362" t="str">
        <f>IF(Table1[[#This Row],[Column1]]&lt;=30,"18-30",IF(Table1[[#This Row],[Column1]]&lt;=50,"31-50","51+"))</f>
        <v>51+</v>
      </c>
      <c r="AK362" t="str">
        <f>IF(Table1[[#This Row],[WorkLifeBalance]]=1,"Poor",IF(Table1[[#This Row],[WorkLifeBalance]]=2,"Fair",IF(Table1[[#This Row],[WorkLifeBalance]]=3,"Good","Excellent")))</f>
        <v>Good</v>
      </c>
    </row>
    <row r="363" spans="1:37" x14ac:dyDescent="0.3">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c r="AJ363" t="str">
        <f>IF(Table1[[#This Row],[Column1]]&lt;=30,"18-30",IF(Table1[[#This Row],[Column1]]&lt;=50,"31-50","51+"))</f>
        <v>31-50</v>
      </c>
      <c r="AK363" t="str">
        <f>IF(Table1[[#This Row],[WorkLifeBalance]]=1,"Poor",IF(Table1[[#This Row],[WorkLifeBalance]]=2,"Fair",IF(Table1[[#This Row],[WorkLifeBalance]]=3,"Good","Excellent")))</f>
        <v>Good</v>
      </c>
    </row>
    <row r="364" spans="1:37" x14ac:dyDescent="0.3">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c r="AJ364" t="str">
        <f>IF(Table1[[#This Row],[Column1]]&lt;=30,"18-30",IF(Table1[[#This Row],[Column1]]&lt;=50,"31-50","51+"))</f>
        <v>18-30</v>
      </c>
      <c r="AK364" t="str">
        <f>IF(Table1[[#This Row],[WorkLifeBalance]]=1,"Poor",IF(Table1[[#This Row],[WorkLifeBalance]]=2,"Fair",IF(Table1[[#This Row],[WorkLifeBalance]]=3,"Good","Excellent")))</f>
        <v>Fair</v>
      </c>
    </row>
    <row r="365" spans="1:37" x14ac:dyDescent="0.3">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c r="AJ365" t="str">
        <f>IF(Table1[[#This Row],[Column1]]&lt;=30,"18-30",IF(Table1[[#This Row],[Column1]]&lt;=50,"31-50","51+"))</f>
        <v>31-50</v>
      </c>
      <c r="AK365" t="str">
        <f>IF(Table1[[#This Row],[WorkLifeBalance]]=1,"Poor",IF(Table1[[#This Row],[WorkLifeBalance]]=2,"Fair",IF(Table1[[#This Row],[WorkLifeBalance]]=3,"Good","Excellent")))</f>
        <v>Good</v>
      </c>
    </row>
    <row r="366" spans="1:37" x14ac:dyDescent="0.3">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c r="AJ366" t="str">
        <f>IF(Table1[[#This Row],[Column1]]&lt;=30,"18-30",IF(Table1[[#This Row],[Column1]]&lt;=50,"31-50","51+"))</f>
        <v>31-50</v>
      </c>
      <c r="AK366" t="str">
        <f>IF(Table1[[#This Row],[WorkLifeBalance]]=1,"Poor",IF(Table1[[#This Row],[WorkLifeBalance]]=2,"Fair",IF(Table1[[#This Row],[WorkLifeBalance]]=3,"Good","Excellent")))</f>
        <v>Good</v>
      </c>
    </row>
    <row r="367" spans="1:37" x14ac:dyDescent="0.3">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c r="AJ367" t="str">
        <f>IF(Table1[[#This Row],[Column1]]&lt;=30,"18-30",IF(Table1[[#This Row],[Column1]]&lt;=50,"31-50","51+"))</f>
        <v>31-50</v>
      </c>
      <c r="AK367" t="str">
        <f>IF(Table1[[#This Row],[WorkLifeBalance]]=1,"Poor",IF(Table1[[#This Row],[WorkLifeBalance]]=2,"Fair",IF(Table1[[#This Row],[WorkLifeBalance]]=3,"Good","Excellent")))</f>
        <v>Excellent</v>
      </c>
    </row>
    <row r="368" spans="1:37" x14ac:dyDescent="0.3">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c r="AJ368" t="str">
        <f>IF(Table1[[#This Row],[Column1]]&lt;=30,"18-30",IF(Table1[[#This Row],[Column1]]&lt;=50,"31-50","51+"))</f>
        <v>31-50</v>
      </c>
      <c r="AK368" t="str">
        <f>IF(Table1[[#This Row],[WorkLifeBalance]]=1,"Poor",IF(Table1[[#This Row],[WorkLifeBalance]]=2,"Fair",IF(Table1[[#This Row],[WorkLifeBalance]]=3,"Good","Excellent")))</f>
        <v>Good</v>
      </c>
    </row>
    <row r="369" spans="1:37" x14ac:dyDescent="0.3">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c r="AJ369" t="str">
        <f>IF(Table1[[#This Row],[Column1]]&lt;=30,"18-30",IF(Table1[[#This Row],[Column1]]&lt;=50,"31-50","51+"))</f>
        <v>31-50</v>
      </c>
      <c r="AK369" t="str">
        <f>IF(Table1[[#This Row],[WorkLifeBalance]]=1,"Poor",IF(Table1[[#This Row],[WorkLifeBalance]]=2,"Fair",IF(Table1[[#This Row],[WorkLifeBalance]]=3,"Good","Excellent")))</f>
        <v>Good</v>
      </c>
    </row>
    <row r="370" spans="1:37" x14ac:dyDescent="0.3">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c r="AJ370" t="str">
        <f>IF(Table1[[#This Row],[Column1]]&lt;=30,"18-30",IF(Table1[[#This Row],[Column1]]&lt;=50,"31-50","51+"))</f>
        <v>31-50</v>
      </c>
      <c r="AK370" t="str">
        <f>IF(Table1[[#This Row],[WorkLifeBalance]]=1,"Poor",IF(Table1[[#This Row],[WorkLifeBalance]]=2,"Fair",IF(Table1[[#This Row],[WorkLifeBalance]]=3,"Good","Excellent")))</f>
        <v>Good</v>
      </c>
    </row>
    <row r="371" spans="1:37" x14ac:dyDescent="0.3">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c r="AJ371" t="str">
        <f>IF(Table1[[#This Row],[Column1]]&lt;=30,"18-30",IF(Table1[[#This Row],[Column1]]&lt;=50,"31-50","51+"))</f>
        <v>31-50</v>
      </c>
      <c r="AK371" t="str">
        <f>IF(Table1[[#This Row],[WorkLifeBalance]]=1,"Poor",IF(Table1[[#This Row],[WorkLifeBalance]]=2,"Fair",IF(Table1[[#This Row],[WorkLifeBalance]]=3,"Good","Excellent")))</f>
        <v>Good</v>
      </c>
    </row>
    <row r="372" spans="1:37" x14ac:dyDescent="0.3">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c r="AJ372" t="str">
        <f>IF(Table1[[#This Row],[Column1]]&lt;=30,"18-30",IF(Table1[[#This Row],[Column1]]&lt;=50,"31-50","51+"))</f>
        <v>18-30</v>
      </c>
      <c r="AK372" t="str">
        <f>IF(Table1[[#This Row],[WorkLifeBalance]]=1,"Poor",IF(Table1[[#This Row],[WorkLifeBalance]]=2,"Fair",IF(Table1[[#This Row],[WorkLifeBalance]]=3,"Good","Excellent")))</f>
        <v>Good</v>
      </c>
    </row>
    <row r="373" spans="1:37" x14ac:dyDescent="0.3">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c r="AJ373" t="str">
        <f>IF(Table1[[#This Row],[Column1]]&lt;=30,"18-30",IF(Table1[[#This Row],[Column1]]&lt;=50,"31-50","51+"))</f>
        <v>18-30</v>
      </c>
      <c r="AK373" t="str">
        <f>IF(Table1[[#This Row],[WorkLifeBalance]]=1,"Poor",IF(Table1[[#This Row],[WorkLifeBalance]]=2,"Fair",IF(Table1[[#This Row],[WorkLifeBalance]]=3,"Good","Excellent")))</f>
        <v>Good</v>
      </c>
    </row>
    <row r="374" spans="1:37" x14ac:dyDescent="0.3">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c r="AJ374" t="str">
        <f>IF(Table1[[#This Row],[Column1]]&lt;=30,"18-30",IF(Table1[[#This Row],[Column1]]&lt;=50,"31-50","51+"))</f>
        <v>31-50</v>
      </c>
      <c r="AK374" t="str">
        <f>IF(Table1[[#This Row],[WorkLifeBalance]]=1,"Poor",IF(Table1[[#This Row],[WorkLifeBalance]]=2,"Fair",IF(Table1[[#This Row],[WorkLifeBalance]]=3,"Good","Excellent")))</f>
        <v>Good</v>
      </c>
    </row>
    <row r="375" spans="1:37" x14ac:dyDescent="0.3">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c r="AJ375" t="str">
        <f>IF(Table1[[#This Row],[Column1]]&lt;=30,"18-30",IF(Table1[[#This Row],[Column1]]&lt;=50,"31-50","51+"))</f>
        <v>18-30</v>
      </c>
      <c r="AK375" t="str">
        <f>IF(Table1[[#This Row],[WorkLifeBalance]]=1,"Poor",IF(Table1[[#This Row],[WorkLifeBalance]]=2,"Fair",IF(Table1[[#This Row],[WorkLifeBalance]]=3,"Good","Excellent")))</f>
        <v>Good</v>
      </c>
    </row>
    <row r="376" spans="1:37" x14ac:dyDescent="0.3">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c r="AJ376" t="str">
        <f>IF(Table1[[#This Row],[Column1]]&lt;=30,"18-30",IF(Table1[[#This Row],[Column1]]&lt;=50,"31-50","51+"))</f>
        <v>18-30</v>
      </c>
      <c r="AK376" t="str">
        <f>IF(Table1[[#This Row],[WorkLifeBalance]]=1,"Poor",IF(Table1[[#This Row],[WorkLifeBalance]]=2,"Fair",IF(Table1[[#This Row],[WorkLifeBalance]]=3,"Good","Excellent")))</f>
        <v>Good</v>
      </c>
    </row>
    <row r="377" spans="1:37" x14ac:dyDescent="0.3">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c r="AJ377" t="str">
        <f>IF(Table1[[#This Row],[Column1]]&lt;=30,"18-30",IF(Table1[[#This Row],[Column1]]&lt;=50,"31-50","51+"))</f>
        <v>31-50</v>
      </c>
      <c r="AK377" t="str">
        <f>IF(Table1[[#This Row],[WorkLifeBalance]]=1,"Poor",IF(Table1[[#This Row],[WorkLifeBalance]]=2,"Fair",IF(Table1[[#This Row],[WorkLifeBalance]]=3,"Good","Excellent")))</f>
        <v>Good</v>
      </c>
    </row>
    <row r="378" spans="1:37" x14ac:dyDescent="0.3">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c r="AJ378" t="str">
        <f>IF(Table1[[#This Row],[Column1]]&lt;=30,"18-30",IF(Table1[[#This Row],[Column1]]&lt;=50,"31-50","51+"))</f>
        <v>51+</v>
      </c>
      <c r="AK378" t="str">
        <f>IF(Table1[[#This Row],[WorkLifeBalance]]=1,"Poor",IF(Table1[[#This Row],[WorkLifeBalance]]=2,"Fair",IF(Table1[[#This Row],[WorkLifeBalance]]=3,"Good","Excellent")))</f>
        <v>Fair</v>
      </c>
    </row>
    <row r="379" spans="1:37" x14ac:dyDescent="0.3">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c r="AJ379" t="str">
        <f>IF(Table1[[#This Row],[Column1]]&lt;=30,"18-30",IF(Table1[[#This Row],[Column1]]&lt;=50,"31-50","51+"))</f>
        <v>31-50</v>
      </c>
      <c r="AK379" t="str">
        <f>IF(Table1[[#This Row],[WorkLifeBalance]]=1,"Poor",IF(Table1[[#This Row],[WorkLifeBalance]]=2,"Fair",IF(Table1[[#This Row],[WorkLifeBalance]]=3,"Good","Excellent")))</f>
        <v>Good</v>
      </c>
    </row>
    <row r="380" spans="1:37" x14ac:dyDescent="0.3">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c r="AJ380" t="str">
        <f>IF(Table1[[#This Row],[Column1]]&lt;=30,"18-30",IF(Table1[[#This Row],[Column1]]&lt;=50,"31-50","51+"))</f>
        <v>31-50</v>
      </c>
      <c r="AK380" t="str">
        <f>IF(Table1[[#This Row],[WorkLifeBalance]]=1,"Poor",IF(Table1[[#This Row],[WorkLifeBalance]]=2,"Fair",IF(Table1[[#This Row],[WorkLifeBalance]]=3,"Good","Excellent")))</f>
        <v>Fair</v>
      </c>
    </row>
    <row r="381" spans="1:37" x14ac:dyDescent="0.3">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c r="AJ381" t="str">
        <f>IF(Table1[[#This Row],[Column1]]&lt;=30,"18-30",IF(Table1[[#This Row],[Column1]]&lt;=50,"31-50","51+"))</f>
        <v>51+</v>
      </c>
      <c r="AK381" t="str">
        <f>IF(Table1[[#This Row],[WorkLifeBalance]]=1,"Poor",IF(Table1[[#This Row],[WorkLifeBalance]]=2,"Fair",IF(Table1[[#This Row],[WorkLifeBalance]]=3,"Good","Excellent")))</f>
        <v>Good</v>
      </c>
    </row>
    <row r="382" spans="1:37" x14ac:dyDescent="0.3">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c r="AJ382" t="str">
        <f>IF(Table1[[#This Row],[Column1]]&lt;=30,"18-30",IF(Table1[[#This Row],[Column1]]&lt;=50,"31-50","51+"))</f>
        <v>18-30</v>
      </c>
      <c r="AK382" t="str">
        <f>IF(Table1[[#This Row],[WorkLifeBalance]]=1,"Poor",IF(Table1[[#This Row],[WorkLifeBalance]]=2,"Fair",IF(Table1[[#This Row],[WorkLifeBalance]]=3,"Good","Excellent")))</f>
        <v>Excellent</v>
      </c>
    </row>
    <row r="383" spans="1:37" x14ac:dyDescent="0.3">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c r="AJ383" t="str">
        <f>IF(Table1[[#This Row],[Column1]]&lt;=30,"18-30",IF(Table1[[#This Row],[Column1]]&lt;=50,"31-50","51+"))</f>
        <v>18-30</v>
      </c>
      <c r="AK383" t="str">
        <f>IF(Table1[[#This Row],[WorkLifeBalance]]=1,"Poor",IF(Table1[[#This Row],[WorkLifeBalance]]=2,"Fair",IF(Table1[[#This Row],[WorkLifeBalance]]=3,"Good","Excellent")))</f>
        <v>Good</v>
      </c>
    </row>
    <row r="384" spans="1:37" x14ac:dyDescent="0.3">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c r="AJ384" t="str">
        <f>IF(Table1[[#This Row],[Column1]]&lt;=30,"18-30",IF(Table1[[#This Row],[Column1]]&lt;=50,"31-50","51+"))</f>
        <v>18-30</v>
      </c>
      <c r="AK384" t="str">
        <f>IF(Table1[[#This Row],[WorkLifeBalance]]=1,"Poor",IF(Table1[[#This Row],[WorkLifeBalance]]=2,"Fair",IF(Table1[[#This Row],[WorkLifeBalance]]=3,"Good","Excellent")))</f>
        <v>Good</v>
      </c>
    </row>
    <row r="385" spans="1:37" x14ac:dyDescent="0.3">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c r="AJ385" t="str">
        <f>IF(Table1[[#This Row],[Column1]]&lt;=30,"18-30",IF(Table1[[#This Row],[Column1]]&lt;=50,"31-50","51+"))</f>
        <v>18-30</v>
      </c>
      <c r="AK385" t="str">
        <f>IF(Table1[[#This Row],[WorkLifeBalance]]=1,"Poor",IF(Table1[[#This Row],[WorkLifeBalance]]=2,"Fair",IF(Table1[[#This Row],[WorkLifeBalance]]=3,"Good","Excellent")))</f>
        <v>Good</v>
      </c>
    </row>
    <row r="386" spans="1:37" x14ac:dyDescent="0.3">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c r="AJ386" t="str">
        <f>IF(Table1[[#This Row],[Column1]]&lt;=30,"18-30",IF(Table1[[#This Row],[Column1]]&lt;=50,"31-50","51+"))</f>
        <v>31-50</v>
      </c>
      <c r="AK386" t="str">
        <f>IF(Table1[[#This Row],[WorkLifeBalance]]=1,"Poor",IF(Table1[[#This Row],[WorkLifeBalance]]=2,"Fair",IF(Table1[[#This Row],[WorkLifeBalance]]=3,"Good","Excellent")))</f>
        <v>Good</v>
      </c>
    </row>
    <row r="387" spans="1:37" x14ac:dyDescent="0.3">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c r="AJ387" t="str">
        <f>IF(Table1[[#This Row],[Column1]]&lt;=30,"18-30",IF(Table1[[#This Row],[Column1]]&lt;=50,"31-50","51+"))</f>
        <v>18-30</v>
      </c>
      <c r="AK387" t="str">
        <f>IF(Table1[[#This Row],[WorkLifeBalance]]=1,"Poor",IF(Table1[[#This Row],[WorkLifeBalance]]=2,"Fair",IF(Table1[[#This Row],[WorkLifeBalance]]=3,"Good","Excellent")))</f>
        <v>Good</v>
      </c>
    </row>
    <row r="388" spans="1:37" x14ac:dyDescent="0.3">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c r="AJ388" t="str">
        <f>IF(Table1[[#This Row],[Column1]]&lt;=30,"18-30",IF(Table1[[#This Row],[Column1]]&lt;=50,"31-50","51+"))</f>
        <v>31-50</v>
      </c>
      <c r="AK388" t="str">
        <f>IF(Table1[[#This Row],[WorkLifeBalance]]=1,"Poor",IF(Table1[[#This Row],[WorkLifeBalance]]=2,"Fair",IF(Table1[[#This Row],[WorkLifeBalance]]=3,"Good","Excellent")))</f>
        <v>Fair</v>
      </c>
    </row>
    <row r="389" spans="1:37" x14ac:dyDescent="0.3">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c r="AJ389" t="str">
        <f>IF(Table1[[#This Row],[Column1]]&lt;=30,"18-30",IF(Table1[[#This Row],[Column1]]&lt;=50,"31-50","51+"))</f>
        <v>31-50</v>
      </c>
      <c r="AK389" t="str">
        <f>IF(Table1[[#This Row],[WorkLifeBalance]]=1,"Poor",IF(Table1[[#This Row],[WorkLifeBalance]]=2,"Fair",IF(Table1[[#This Row],[WorkLifeBalance]]=3,"Good","Excellent")))</f>
        <v>Good</v>
      </c>
    </row>
    <row r="390" spans="1:37" x14ac:dyDescent="0.3">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c r="AJ390" t="str">
        <f>IF(Table1[[#This Row],[Column1]]&lt;=30,"18-30",IF(Table1[[#This Row],[Column1]]&lt;=50,"31-50","51+"))</f>
        <v>31-50</v>
      </c>
      <c r="AK390" t="str">
        <f>IF(Table1[[#This Row],[WorkLifeBalance]]=1,"Poor",IF(Table1[[#This Row],[WorkLifeBalance]]=2,"Fair",IF(Table1[[#This Row],[WorkLifeBalance]]=3,"Good","Excellent")))</f>
        <v>Good</v>
      </c>
    </row>
    <row r="391" spans="1:37" x14ac:dyDescent="0.3">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c r="AJ391" t="str">
        <f>IF(Table1[[#This Row],[Column1]]&lt;=30,"18-30",IF(Table1[[#This Row],[Column1]]&lt;=50,"31-50","51+"))</f>
        <v>31-50</v>
      </c>
      <c r="AK391" t="str">
        <f>IF(Table1[[#This Row],[WorkLifeBalance]]=1,"Poor",IF(Table1[[#This Row],[WorkLifeBalance]]=2,"Fair",IF(Table1[[#This Row],[WorkLifeBalance]]=3,"Good","Excellent")))</f>
        <v>Fair</v>
      </c>
    </row>
    <row r="392" spans="1:37" x14ac:dyDescent="0.3">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c r="AJ392" t="str">
        <f>IF(Table1[[#This Row],[Column1]]&lt;=30,"18-30",IF(Table1[[#This Row],[Column1]]&lt;=50,"31-50","51+"))</f>
        <v>31-50</v>
      </c>
      <c r="AK392" t="str">
        <f>IF(Table1[[#This Row],[WorkLifeBalance]]=1,"Poor",IF(Table1[[#This Row],[WorkLifeBalance]]=2,"Fair",IF(Table1[[#This Row],[WorkLifeBalance]]=3,"Good","Excellent")))</f>
        <v>Good</v>
      </c>
    </row>
    <row r="393" spans="1:37" x14ac:dyDescent="0.3">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c r="AJ393" t="str">
        <f>IF(Table1[[#This Row],[Column1]]&lt;=30,"18-30",IF(Table1[[#This Row],[Column1]]&lt;=50,"31-50","51+"))</f>
        <v>31-50</v>
      </c>
      <c r="AK393" t="str">
        <f>IF(Table1[[#This Row],[WorkLifeBalance]]=1,"Poor",IF(Table1[[#This Row],[WorkLifeBalance]]=2,"Fair",IF(Table1[[#This Row],[WorkLifeBalance]]=3,"Good","Excellent")))</f>
        <v>Good</v>
      </c>
    </row>
    <row r="394" spans="1:37" x14ac:dyDescent="0.3">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c r="AJ394" t="str">
        <f>IF(Table1[[#This Row],[Column1]]&lt;=30,"18-30",IF(Table1[[#This Row],[Column1]]&lt;=50,"31-50","51+"))</f>
        <v>51+</v>
      </c>
      <c r="AK394" t="str">
        <f>IF(Table1[[#This Row],[WorkLifeBalance]]=1,"Poor",IF(Table1[[#This Row],[WorkLifeBalance]]=2,"Fair",IF(Table1[[#This Row],[WorkLifeBalance]]=3,"Good","Excellent")))</f>
        <v>Fair</v>
      </c>
    </row>
    <row r="395" spans="1:37" x14ac:dyDescent="0.3">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c r="AJ395" t="str">
        <f>IF(Table1[[#This Row],[Column1]]&lt;=30,"18-30",IF(Table1[[#This Row],[Column1]]&lt;=50,"31-50","51+"))</f>
        <v>31-50</v>
      </c>
      <c r="AK395" t="str">
        <f>IF(Table1[[#This Row],[WorkLifeBalance]]=1,"Poor",IF(Table1[[#This Row],[WorkLifeBalance]]=2,"Fair",IF(Table1[[#This Row],[WorkLifeBalance]]=3,"Good","Excellent")))</f>
        <v>Good</v>
      </c>
    </row>
    <row r="396" spans="1:37" x14ac:dyDescent="0.3">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c r="AJ396" t="str">
        <f>IF(Table1[[#This Row],[Column1]]&lt;=30,"18-30",IF(Table1[[#This Row],[Column1]]&lt;=50,"31-50","51+"))</f>
        <v>31-50</v>
      </c>
      <c r="AK396" t="str">
        <f>IF(Table1[[#This Row],[WorkLifeBalance]]=1,"Poor",IF(Table1[[#This Row],[WorkLifeBalance]]=2,"Fair",IF(Table1[[#This Row],[WorkLifeBalance]]=3,"Good","Excellent")))</f>
        <v>Poor</v>
      </c>
    </row>
    <row r="397" spans="1:37" x14ac:dyDescent="0.3">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c r="AJ397" t="str">
        <f>IF(Table1[[#This Row],[Column1]]&lt;=30,"18-30",IF(Table1[[#This Row],[Column1]]&lt;=50,"31-50","51+"))</f>
        <v>31-50</v>
      </c>
      <c r="AK397" t="str">
        <f>IF(Table1[[#This Row],[WorkLifeBalance]]=1,"Poor",IF(Table1[[#This Row],[WorkLifeBalance]]=2,"Fair",IF(Table1[[#This Row],[WorkLifeBalance]]=3,"Good","Excellent")))</f>
        <v>Good</v>
      </c>
    </row>
    <row r="398" spans="1:37" x14ac:dyDescent="0.3">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c r="AJ398" t="str">
        <f>IF(Table1[[#This Row],[Column1]]&lt;=30,"18-30",IF(Table1[[#This Row],[Column1]]&lt;=50,"31-50","51+"))</f>
        <v>31-50</v>
      </c>
      <c r="AK398" t="str">
        <f>IF(Table1[[#This Row],[WorkLifeBalance]]=1,"Poor",IF(Table1[[#This Row],[WorkLifeBalance]]=2,"Fair",IF(Table1[[#This Row],[WorkLifeBalance]]=3,"Good","Excellent")))</f>
        <v>Good</v>
      </c>
    </row>
    <row r="399" spans="1:37" x14ac:dyDescent="0.3">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c r="AJ399" t="str">
        <f>IF(Table1[[#This Row],[Column1]]&lt;=30,"18-30",IF(Table1[[#This Row],[Column1]]&lt;=50,"31-50","51+"))</f>
        <v>18-30</v>
      </c>
      <c r="AK399" t="str">
        <f>IF(Table1[[#This Row],[WorkLifeBalance]]=1,"Poor",IF(Table1[[#This Row],[WorkLifeBalance]]=2,"Fair",IF(Table1[[#This Row],[WorkLifeBalance]]=3,"Good","Excellent")))</f>
        <v>Good</v>
      </c>
    </row>
    <row r="400" spans="1:37" x14ac:dyDescent="0.3">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c r="AJ400" t="str">
        <f>IF(Table1[[#This Row],[Column1]]&lt;=30,"18-30",IF(Table1[[#This Row],[Column1]]&lt;=50,"31-50","51+"))</f>
        <v>31-50</v>
      </c>
      <c r="AK400" t="str">
        <f>IF(Table1[[#This Row],[WorkLifeBalance]]=1,"Poor",IF(Table1[[#This Row],[WorkLifeBalance]]=2,"Fair",IF(Table1[[#This Row],[WorkLifeBalance]]=3,"Good","Excellent")))</f>
        <v>Good</v>
      </c>
    </row>
    <row r="401" spans="1:37" x14ac:dyDescent="0.3">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c r="AJ401" t="str">
        <f>IF(Table1[[#This Row],[Column1]]&lt;=30,"18-30",IF(Table1[[#This Row],[Column1]]&lt;=50,"31-50","51+"))</f>
        <v>31-50</v>
      </c>
      <c r="AK401" t="str">
        <f>IF(Table1[[#This Row],[WorkLifeBalance]]=1,"Poor",IF(Table1[[#This Row],[WorkLifeBalance]]=2,"Fair",IF(Table1[[#This Row],[WorkLifeBalance]]=3,"Good","Excellent")))</f>
        <v>Good</v>
      </c>
    </row>
    <row r="402" spans="1:37" x14ac:dyDescent="0.3">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c r="AJ402" t="str">
        <f>IF(Table1[[#This Row],[Column1]]&lt;=30,"18-30",IF(Table1[[#This Row],[Column1]]&lt;=50,"31-50","51+"))</f>
        <v>31-50</v>
      </c>
      <c r="AK402" t="str">
        <f>IF(Table1[[#This Row],[WorkLifeBalance]]=1,"Poor",IF(Table1[[#This Row],[WorkLifeBalance]]=2,"Fair",IF(Table1[[#This Row],[WorkLifeBalance]]=3,"Good","Excellent")))</f>
        <v>Good</v>
      </c>
    </row>
    <row r="403" spans="1:37" x14ac:dyDescent="0.3">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c r="AJ403" t="str">
        <f>IF(Table1[[#This Row],[Column1]]&lt;=30,"18-30",IF(Table1[[#This Row],[Column1]]&lt;=50,"31-50","51+"))</f>
        <v>51+</v>
      </c>
      <c r="AK403" t="str">
        <f>IF(Table1[[#This Row],[WorkLifeBalance]]=1,"Poor",IF(Table1[[#This Row],[WorkLifeBalance]]=2,"Fair",IF(Table1[[#This Row],[WorkLifeBalance]]=3,"Good","Excellent")))</f>
        <v>Fair</v>
      </c>
    </row>
    <row r="404" spans="1:37" x14ac:dyDescent="0.3">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c r="AJ404" t="str">
        <f>IF(Table1[[#This Row],[Column1]]&lt;=30,"18-30",IF(Table1[[#This Row],[Column1]]&lt;=50,"31-50","51+"))</f>
        <v>18-30</v>
      </c>
      <c r="AK404" t="str">
        <f>IF(Table1[[#This Row],[WorkLifeBalance]]=1,"Poor",IF(Table1[[#This Row],[WorkLifeBalance]]=2,"Fair",IF(Table1[[#This Row],[WorkLifeBalance]]=3,"Good","Excellent")))</f>
        <v>Good</v>
      </c>
    </row>
    <row r="405" spans="1:37" x14ac:dyDescent="0.3">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c r="AJ405" t="str">
        <f>IF(Table1[[#This Row],[Column1]]&lt;=30,"18-30",IF(Table1[[#This Row],[Column1]]&lt;=50,"31-50","51+"))</f>
        <v>31-50</v>
      </c>
      <c r="AK405" t="str">
        <f>IF(Table1[[#This Row],[WorkLifeBalance]]=1,"Poor",IF(Table1[[#This Row],[WorkLifeBalance]]=2,"Fair",IF(Table1[[#This Row],[WorkLifeBalance]]=3,"Good","Excellent")))</f>
        <v>Good</v>
      </c>
    </row>
    <row r="406" spans="1:37" x14ac:dyDescent="0.3">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c r="AJ406" t="str">
        <f>IF(Table1[[#This Row],[Column1]]&lt;=30,"18-30",IF(Table1[[#This Row],[Column1]]&lt;=50,"31-50","51+"))</f>
        <v>18-30</v>
      </c>
      <c r="AK406" t="str">
        <f>IF(Table1[[#This Row],[WorkLifeBalance]]=1,"Poor",IF(Table1[[#This Row],[WorkLifeBalance]]=2,"Fair",IF(Table1[[#This Row],[WorkLifeBalance]]=3,"Good","Excellent")))</f>
        <v>Good</v>
      </c>
    </row>
    <row r="407" spans="1:37" x14ac:dyDescent="0.3">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c r="AJ407" t="str">
        <f>IF(Table1[[#This Row],[Column1]]&lt;=30,"18-30",IF(Table1[[#This Row],[Column1]]&lt;=50,"31-50","51+"))</f>
        <v>18-30</v>
      </c>
      <c r="AK407" t="str">
        <f>IF(Table1[[#This Row],[WorkLifeBalance]]=1,"Poor",IF(Table1[[#This Row],[WorkLifeBalance]]=2,"Fair",IF(Table1[[#This Row],[WorkLifeBalance]]=3,"Good","Excellent")))</f>
        <v>Good</v>
      </c>
    </row>
    <row r="408" spans="1:37" x14ac:dyDescent="0.3">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c r="AJ408" t="str">
        <f>IF(Table1[[#This Row],[Column1]]&lt;=30,"18-30",IF(Table1[[#This Row],[Column1]]&lt;=50,"31-50","51+"))</f>
        <v>51+</v>
      </c>
      <c r="AK408" t="str">
        <f>IF(Table1[[#This Row],[WorkLifeBalance]]=1,"Poor",IF(Table1[[#This Row],[WorkLifeBalance]]=2,"Fair",IF(Table1[[#This Row],[WorkLifeBalance]]=3,"Good","Excellent")))</f>
        <v>Good</v>
      </c>
    </row>
    <row r="409" spans="1:37" x14ac:dyDescent="0.3">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c r="AJ409" t="str">
        <f>IF(Table1[[#This Row],[Column1]]&lt;=30,"18-30",IF(Table1[[#This Row],[Column1]]&lt;=50,"31-50","51+"))</f>
        <v>31-50</v>
      </c>
      <c r="AK409" t="str">
        <f>IF(Table1[[#This Row],[WorkLifeBalance]]=1,"Poor",IF(Table1[[#This Row],[WorkLifeBalance]]=2,"Fair",IF(Table1[[#This Row],[WorkLifeBalance]]=3,"Good","Excellent")))</f>
        <v>Fair</v>
      </c>
    </row>
    <row r="410" spans="1:37" x14ac:dyDescent="0.3">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c r="AJ410" t="str">
        <f>IF(Table1[[#This Row],[Column1]]&lt;=30,"18-30",IF(Table1[[#This Row],[Column1]]&lt;=50,"31-50","51+"))</f>
        <v>51+</v>
      </c>
      <c r="AK410" t="str">
        <f>IF(Table1[[#This Row],[WorkLifeBalance]]=1,"Poor",IF(Table1[[#This Row],[WorkLifeBalance]]=2,"Fair",IF(Table1[[#This Row],[WorkLifeBalance]]=3,"Good","Excellent")))</f>
        <v>Poor</v>
      </c>
    </row>
    <row r="411" spans="1:37" x14ac:dyDescent="0.3">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c r="AJ411" t="str">
        <f>IF(Table1[[#This Row],[Column1]]&lt;=30,"18-30",IF(Table1[[#This Row],[Column1]]&lt;=50,"31-50","51+"))</f>
        <v>31-50</v>
      </c>
      <c r="AK411" t="str">
        <f>IF(Table1[[#This Row],[WorkLifeBalance]]=1,"Poor",IF(Table1[[#This Row],[WorkLifeBalance]]=2,"Fair",IF(Table1[[#This Row],[WorkLifeBalance]]=3,"Good","Excellent")))</f>
        <v>Good</v>
      </c>
    </row>
    <row r="412" spans="1:37" x14ac:dyDescent="0.3">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c r="AJ412" t="str">
        <f>IF(Table1[[#This Row],[Column1]]&lt;=30,"18-30",IF(Table1[[#This Row],[Column1]]&lt;=50,"31-50","51+"))</f>
        <v>18-30</v>
      </c>
      <c r="AK412" t="str">
        <f>IF(Table1[[#This Row],[WorkLifeBalance]]=1,"Poor",IF(Table1[[#This Row],[WorkLifeBalance]]=2,"Fair",IF(Table1[[#This Row],[WorkLifeBalance]]=3,"Good","Excellent")))</f>
        <v>Good</v>
      </c>
    </row>
    <row r="413" spans="1:37" x14ac:dyDescent="0.3">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c r="AJ413" t="str">
        <f>IF(Table1[[#This Row],[Column1]]&lt;=30,"18-30",IF(Table1[[#This Row],[Column1]]&lt;=50,"31-50","51+"))</f>
        <v>51+</v>
      </c>
      <c r="AK413" t="str">
        <f>IF(Table1[[#This Row],[WorkLifeBalance]]=1,"Poor",IF(Table1[[#This Row],[WorkLifeBalance]]=2,"Fair",IF(Table1[[#This Row],[WorkLifeBalance]]=3,"Good","Excellent")))</f>
        <v>Poor</v>
      </c>
    </row>
    <row r="414" spans="1:37" x14ac:dyDescent="0.3">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c r="AJ414" t="str">
        <f>IF(Table1[[#This Row],[Column1]]&lt;=30,"18-30",IF(Table1[[#This Row],[Column1]]&lt;=50,"31-50","51+"))</f>
        <v>31-50</v>
      </c>
      <c r="AK414" t="str">
        <f>IF(Table1[[#This Row],[WorkLifeBalance]]=1,"Poor",IF(Table1[[#This Row],[WorkLifeBalance]]=2,"Fair",IF(Table1[[#This Row],[WorkLifeBalance]]=3,"Good","Excellent")))</f>
        <v>Fair</v>
      </c>
    </row>
    <row r="415" spans="1:37" x14ac:dyDescent="0.3">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c r="AJ415" t="str">
        <f>IF(Table1[[#This Row],[Column1]]&lt;=30,"18-30",IF(Table1[[#This Row],[Column1]]&lt;=50,"31-50","51+"))</f>
        <v>31-50</v>
      </c>
      <c r="AK415" t="str">
        <f>IF(Table1[[#This Row],[WorkLifeBalance]]=1,"Poor",IF(Table1[[#This Row],[WorkLifeBalance]]=2,"Fair",IF(Table1[[#This Row],[WorkLifeBalance]]=3,"Good","Excellent")))</f>
        <v>Excellent</v>
      </c>
    </row>
    <row r="416" spans="1:37" x14ac:dyDescent="0.3">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c r="AJ416" t="str">
        <f>IF(Table1[[#This Row],[Column1]]&lt;=30,"18-30",IF(Table1[[#This Row],[Column1]]&lt;=50,"31-50","51+"))</f>
        <v>18-30</v>
      </c>
      <c r="AK416" t="str">
        <f>IF(Table1[[#This Row],[WorkLifeBalance]]=1,"Poor",IF(Table1[[#This Row],[WorkLifeBalance]]=2,"Fair",IF(Table1[[#This Row],[WorkLifeBalance]]=3,"Good","Excellent")))</f>
        <v>Good</v>
      </c>
    </row>
    <row r="417" spans="1:37" x14ac:dyDescent="0.3">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c r="AJ417" t="str">
        <f>IF(Table1[[#This Row],[Column1]]&lt;=30,"18-30",IF(Table1[[#This Row],[Column1]]&lt;=50,"31-50","51+"))</f>
        <v>31-50</v>
      </c>
      <c r="AK417" t="str">
        <f>IF(Table1[[#This Row],[WorkLifeBalance]]=1,"Poor",IF(Table1[[#This Row],[WorkLifeBalance]]=2,"Fair",IF(Table1[[#This Row],[WorkLifeBalance]]=3,"Good","Excellent")))</f>
        <v>Fair</v>
      </c>
    </row>
    <row r="418" spans="1:37" x14ac:dyDescent="0.3">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c r="AJ418" t="str">
        <f>IF(Table1[[#This Row],[Column1]]&lt;=30,"18-30",IF(Table1[[#This Row],[Column1]]&lt;=50,"31-50","51+"))</f>
        <v>31-50</v>
      </c>
      <c r="AK418" t="str">
        <f>IF(Table1[[#This Row],[WorkLifeBalance]]=1,"Poor",IF(Table1[[#This Row],[WorkLifeBalance]]=2,"Fair",IF(Table1[[#This Row],[WorkLifeBalance]]=3,"Good","Excellent")))</f>
        <v>Good</v>
      </c>
    </row>
    <row r="419" spans="1:37" x14ac:dyDescent="0.3">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c r="AJ419" t="str">
        <f>IF(Table1[[#This Row],[Column1]]&lt;=30,"18-30",IF(Table1[[#This Row],[Column1]]&lt;=50,"31-50","51+"))</f>
        <v>31-50</v>
      </c>
      <c r="AK419" t="str">
        <f>IF(Table1[[#This Row],[WorkLifeBalance]]=1,"Poor",IF(Table1[[#This Row],[WorkLifeBalance]]=2,"Fair",IF(Table1[[#This Row],[WorkLifeBalance]]=3,"Good","Excellent")))</f>
        <v>Good</v>
      </c>
    </row>
    <row r="420" spans="1:37" x14ac:dyDescent="0.3">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c r="AJ420" t="str">
        <f>IF(Table1[[#This Row],[Column1]]&lt;=30,"18-30",IF(Table1[[#This Row],[Column1]]&lt;=50,"31-50","51+"))</f>
        <v>18-30</v>
      </c>
      <c r="AK420" t="str">
        <f>IF(Table1[[#This Row],[WorkLifeBalance]]=1,"Poor",IF(Table1[[#This Row],[WorkLifeBalance]]=2,"Fair",IF(Table1[[#This Row],[WorkLifeBalance]]=3,"Good","Excellent")))</f>
        <v>Poor</v>
      </c>
    </row>
    <row r="421" spans="1:37" x14ac:dyDescent="0.3">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c r="AJ421" t="str">
        <f>IF(Table1[[#This Row],[Column1]]&lt;=30,"18-30",IF(Table1[[#This Row],[Column1]]&lt;=50,"31-50","51+"))</f>
        <v>18-30</v>
      </c>
      <c r="AK421" t="str">
        <f>IF(Table1[[#This Row],[WorkLifeBalance]]=1,"Poor",IF(Table1[[#This Row],[WorkLifeBalance]]=2,"Fair",IF(Table1[[#This Row],[WorkLifeBalance]]=3,"Good","Excellent")))</f>
        <v>Poor</v>
      </c>
    </row>
    <row r="422" spans="1:37" x14ac:dyDescent="0.3">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c r="AJ422" t="str">
        <f>IF(Table1[[#This Row],[Column1]]&lt;=30,"18-30",IF(Table1[[#This Row],[Column1]]&lt;=50,"31-50","51+"))</f>
        <v>18-30</v>
      </c>
      <c r="AK422" t="str">
        <f>IF(Table1[[#This Row],[WorkLifeBalance]]=1,"Poor",IF(Table1[[#This Row],[WorkLifeBalance]]=2,"Fair",IF(Table1[[#This Row],[WorkLifeBalance]]=3,"Good","Excellent")))</f>
        <v>Good</v>
      </c>
    </row>
    <row r="423" spans="1:37" x14ac:dyDescent="0.3">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c r="AJ423" t="str">
        <f>IF(Table1[[#This Row],[Column1]]&lt;=30,"18-30",IF(Table1[[#This Row],[Column1]]&lt;=50,"31-50","51+"))</f>
        <v>18-30</v>
      </c>
      <c r="AK423" t="str">
        <f>IF(Table1[[#This Row],[WorkLifeBalance]]=1,"Poor",IF(Table1[[#This Row],[WorkLifeBalance]]=2,"Fair",IF(Table1[[#This Row],[WorkLifeBalance]]=3,"Good","Excellent")))</f>
        <v>Excellent</v>
      </c>
    </row>
    <row r="424" spans="1:37" x14ac:dyDescent="0.3">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c r="AJ424" t="str">
        <f>IF(Table1[[#This Row],[Column1]]&lt;=30,"18-30",IF(Table1[[#This Row],[Column1]]&lt;=50,"31-50","51+"))</f>
        <v>18-30</v>
      </c>
      <c r="AK424" t="str">
        <f>IF(Table1[[#This Row],[WorkLifeBalance]]=1,"Poor",IF(Table1[[#This Row],[WorkLifeBalance]]=2,"Fair",IF(Table1[[#This Row],[WorkLifeBalance]]=3,"Good","Excellent")))</f>
        <v>Excellent</v>
      </c>
    </row>
    <row r="425" spans="1:37" x14ac:dyDescent="0.3">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c r="AJ425" t="str">
        <f>IF(Table1[[#This Row],[Column1]]&lt;=30,"18-30",IF(Table1[[#This Row],[Column1]]&lt;=50,"31-50","51+"))</f>
        <v>18-30</v>
      </c>
      <c r="AK425" t="str">
        <f>IF(Table1[[#This Row],[WorkLifeBalance]]=1,"Poor",IF(Table1[[#This Row],[WorkLifeBalance]]=2,"Fair",IF(Table1[[#This Row],[WorkLifeBalance]]=3,"Good","Excellent")))</f>
        <v>Good</v>
      </c>
    </row>
    <row r="426" spans="1:37" x14ac:dyDescent="0.3">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c r="AJ426" t="str">
        <f>IF(Table1[[#This Row],[Column1]]&lt;=30,"18-30",IF(Table1[[#This Row],[Column1]]&lt;=50,"31-50","51+"))</f>
        <v>51+</v>
      </c>
      <c r="AK426" t="str">
        <f>IF(Table1[[#This Row],[WorkLifeBalance]]=1,"Poor",IF(Table1[[#This Row],[WorkLifeBalance]]=2,"Fair",IF(Table1[[#This Row],[WorkLifeBalance]]=3,"Good","Excellent")))</f>
        <v>Fair</v>
      </c>
    </row>
    <row r="427" spans="1:37" x14ac:dyDescent="0.3">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c r="AJ427" t="str">
        <f>IF(Table1[[#This Row],[Column1]]&lt;=30,"18-30",IF(Table1[[#This Row],[Column1]]&lt;=50,"31-50","51+"))</f>
        <v>31-50</v>
      </c>
      <c r="AK427" t="str">
        <f>IF(Table1[[#This Row],[WorkLifeBalance]]=1,"Poor",IF(Table1[[#This Row],[WorkLifeBalance]]=2,"Fair",IF(Table1[[#This Row],[WorkLifeBalance]]=3,"Good","Excellent")))</f>
        <v>Good</v>
      </c>
    </row>
    <row r="428" spans="1:37" x14ac:dyDescent="0.3">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c r="AJ428" t="str">
        <f>IF(Table1[[#This Row],[Column1]]&lt;=30,"18-30",IF(Table1[[#This Row],[Column1]]&lt;=50,"31-50","51+"))</f>
        <v>18-30</v>
      </c>
      <c r="AK428" t="str">
        <f>IF(Table1[[#This Row],[WorkLifeBalance]]=1,"Poor",IF(Table1[[#This Row],[WorkLifeBalance]]=2,"Fair",IF(Table1[[#This Row],[WorkLifeBalance]]=3,"Good","Excellent")))</f>
        <v>Fair</v>
      </c>
    </row>
    <row r="429" spans="1:37" x14ac:dyDescent="0.3">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c r="AJ429" t="str">
        <f>IF(Table1[[#This Row],[Column1]]&lt;=30,"18-30",IF(Table1[[#This Row],[Column1]]&lt;=50,"31-50","51+"))</f>
        <v>51+</v>
      </c>
      <c r="AK429" t="str">
        <f>IF(Table1[[#This Row],[WorkLifeBalance]]=1,"Poor",IF(Table1[[#This Row],[WorkLifeBalance]]=2,"Fair",IF(Table1[[#This Row],[WorkLifeBalance]]=3,"Good","Excellent")))</f>
        <v>Excellent</v>
      </c>
    </row>
    <row r="430" spans="1:37" x14ac:dyDescent="0.3">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c r="AJ430" t="str">
        <f>IF(Table1[[#This Row],[Column1]]&lt;=30,"18-30",IF(Table1[[#This Row],[Column1]]&lt;=50,"31-50","51+"))</f>
        <v>31-50</v>
      </c>
      <c r="AK430" t="str">
        <f>IF(Table1[[#This Row],[WorkLifeBalance]]=1,"Poor",IF(Table1[[#This Row],[WorkLifeBalance]]=2,"Fair",IF(Table1[[#This Row],[WorkLifeBalance]]=3,"Good","Excellent")))</f>
        <v>Good</v>
      </c>
    </row>
    <row r="431" spans="1:37" x14ac:dyDescent="0.3">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c r="AJ431" t="str">
        <f>IF(Table1[[#This Row],[Column1]]&lt;=30,"18-30",IF(Table1[[#This Row],[Column1]]&lt;=50,"31-50","51+"))</f>
        <v>31-50</v>
      </c>
      <c r="AK431" t="str">
        <f>IF(Table1[[#This Row],[WorkLifeBalance]]=1,"Poor",IF(Table1[[#This Row],[WorkLifeBalance]]=2,"Fair",IF(Table1[[#This Row],[WorkLifeBalance]]=3,"Good","Excellent")))</f>
        <v>Poor</v>
      </c>
    </row>
    <row r="432" spans="1:37" x14ac:dyDescent="0.3">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c r="AJ432" t="str">
        <f>IF(Table1[[#This Row],[Column1]]&lt;=30,"18-30",IF(Table1[[#This Row],[Column1]]&lt;=50,"31-50","51+"))</f>
        <v>31-50</v>
      </c>
      <c r="AK432" t="str">
        <f>IF(Table1[[#This Row],[WorkLifeBalance]]=1,"Poor",IF(Table1[[#This Row],[WorkLifeBalance]]=2,"Fair",IF(Table1[[#This Row],[WorkLifeBalance]]=3,"Good","Excellent")))</f>
        <v>Good</v>
      </c>
    </row>
    <row r="433" spans="1:37" x14ac:dyDescent="0.3">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c r="AJ433" t="str">
        <f>IF(Table1[[#This Row],[Column1]]&lt;=30,"18-30",IF(Table1[[#This Row],[Column1]]&lt;=50,"31-50","51+"))</f>
        <v>51+</v>
      </c>
      <c r="AK433" t="str">
        <f>IF(Table1[[#This Row],[WorkLifeBalance]]=1,"Poor",IF(Table1[[#This Row],[WorkLifeBalance]]=2,"Fair",IF(Table1[[#This Row],[WorkLifeBalance]]=3,"Good","Excellent")))</f>
        <v>Good</v>
      </c>
    </row>
    <row r="434" spans="1:37" x14ac:dyDescent="0.3">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c r="AJ434" t="str">
        <f>IF(Table1[[#This Row],[Column1]]&lt;=30,"18-30",IF(Table1[[#This Row],[Column1]]&lt;=50,"31-50","51+"))</f>
        <v>31-50</v>
      </c>
      <c r="AK434" t="str">
        <f>IF(Table1[[#This Row],[WorkLifeBalance]]=1,"Poor",IF(Table1[[#This Row],[WorkLifeBalance]]=2,"Fair",IF(Table1[[#This Row],[WorkLifeBalance]]=3,"Good","Excellent")))</f>
        <v>Good</v>
      </c>
    </row>
    <row r="435" spans="1:37" x14ac:dyDescent="0.3">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c r="AJ435" t="str">
        <f>IF(Table1[[#This Row],[Column1]]&lt;=30,"18-30",IF(Table1[[#This Row],[Column1]]&lt;=50,"31-50","51+"))</f>
        <v>31-50</v>
      </c>
      <c r="AK435" t="str">
        <f>IF(Table1[[#This Row],[WorkLifeBalance]]=1,"Poor",IF(Table1[[#This Row],[WorkLifeBalance]]=2,"Fair",IF(Table1[[#This Row],[WorkLifeBalance]]=3,"Good","Excellent")))</f>
        <v>Good</v>
      </c>
    </row>
    <row r="436" spans="1:37" x14ac:dyDescent="0.3">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c r="AJ436" t="str">
        <f>IF(Table1[[#This Row],[Column1]]&lt;=30,"18-30",IF(Table1[[#This Row],[Column1]]&lt;=50,"31-50","51+"))</f>
        <v>31-50</v>
      </c>
      <c r="AK436" t="str">
        <f>IF(Table1[[#This Row],[WorkLifeBalance]]=1,"Poor",IF(Table1[[#This Row],[WorkLifeBalance]]=2,"Fair",IF(Table1[[#This Row],[WorkLifeBalance]]=3,"Good","Excellent")))</f>
        <v>Excellent</v>
      </c>
    </row>
    <row r="437" spans="1:37" x14ac:dyDescent="0.3">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c r="AJ437" t="str">
        <f>IF(Table1[[#This Row],[Column1]]&lt;=30,"18-30",IF(Table1[[#This Row],[Column1]]&lt;=50,"31-50","51+"))</f>
        <v>31-50</v>
      </c>
      <c r="AK437" t="str">
        <f>IF(Table1[[#This Row],[WorkLifeBalance]]=1,"Poor",IF(Table1[[#This Row],[WorkLifeBalance]]=2,"Fair",IF(Table1[[#This Row],[WorkLifeBalance]]=3,"Good","Excellent")))</f>
        <v>Excellent</v>
      </c>
    </row>
    <row r="438" spans="1:37" x14ac:dyDescent="0.3">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c r="AJ438" t="str">
        <f>IF(Table1[[#This Row],[Column1]]&lt;=30,"18-30",IF(Table1[[#This Row],[Column1]]&lt;=50,"31-50","51+"))</f>
        <v>31-50</v>
      </c>
      <c r="AK438" t="str">
        <f>IF(Table1[[#This Row],[WorkLifeBalance]]=1,"Poor",IF(Table1[[#This Row],[WorkLifeBalance]]=2,"Fair",IF(Table1[[#This Row],[WorkLifeBalance]]=3,"Good","Excellent")))</f>
        <v>Good</v>
      </c>
    </row>
    <row r="439" spans="1:37" x14ac:dyDescent="0.3">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c r="AJ439" t="str">
        <f>IF(Table1[[#This Row],[Column1]]&lt;=30,"18-30",IF(Table1[[#This Row],[Column1]]&lt;=50,"31-50","51+"))</f>
        <v>18-30</v>
      </c>
      <c r="AK439" t="str">
        <f>IF(Table1[[#This Row],[WorkLifeBalance]]=1,"Poor",IF(Table1[[#This Row],[WorkLifeBalance]]=2,"Fair",IF(Table1[[#This Row],[WorkLifeBalance]]=3,"Good","Excellent")))</f>
        <v>Good</v>
      </c>
    </row>
    <row r="440" spans="1:37" x14ac:dyDescent="0.3">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c r="AJ440" t="str">
        <f>IF(Table1[[#This Row],[Column1]]&lt;=30,"18-30",IF(Table1[[#This Row],[Column1]]&lt;=50,"31-50","51+"))</f>
        <v>31-50</v>
      </c>
      <c r="AK440" t="str">
        <f>IF(Table1[[#This Row],[WorkLifeBalance]]=1,"Poor",IF(Table1[[#This Row],[WorkLifeBalance]]=2,"Fair",IF(Table1[[#This Row],[WorkLifeBalance]]=3,"Good","Excellent")))</f>
        <v>Good</v>
      </c>
    </row>
    <row r="441" spans="1:37" x14ac:dyDescent="0.3">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c r="AJ441" t="str">
        <f>IF(Table1[[#This Row],[Column1]]&lt;=30,"18-30",IF(Table1[[#This Row],[Column1]]&lt;=50,"31-50","51+"))</f>
        <v>31-50</v>
      </c>
      <c r="AK441" t="str">
        <f>IF(Table1[[#This Row],[WorkLifeBalance]]=1,"Poor",IF(Table1[[#This Row],[WorkLifeBalance]]=2,"Fair",IF(Table1[[#This Row],[WorkLifeBalance]]=3,"Good","Excellent")))</f>
        <v>Good</v>
      </c>
    </row>
    <row r="442" spans="1:37" x14ac:dyDescent="0.3">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c r="AJ442" t="str">
        <f>IF(Table1[[#This Row],[Column1]]&lt;=30,"18-30",IF(Table1[[#This Row],[Column1]]&lt;=50,"31-50","51+"))</f>
        <v>31-50</v>
      </c>
      <c r="AK442" t="str">
        <f>IF(Table1[[#This Row],[WorkLifeBalance]]=1,"Poor",IF(Table1[[#This Row],[WorkLifeBalance]]=2,"Fair",IF(Table1[[#This Row],[WorkLifeBalance]]=3,"Good","Excellent")))</f>
        <v>Good</v>
      </c>
    </row>
    <row r="443" spans="1:37" x14ac:dyDescent="0.3">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c r="AJ443" t="str">
        <f>IF(Table1[[#This Row],[Column1]]&lt;=30,"18-30",IF(Table1[[#This Row],[Column1]]&lt;=50,"31-50","51+"))</f>
        <v>31-50</v>
      </c>
      <c r="AK443" t="str">
        <f>IF(Table1[[#This Row],[WorkLifeBalance]]=1,"Poor",IF(Table1[[#This Row],[WorkLifeBalance]]=2,"Fair",IF(Table1[[#This Row],[WorkLifeBalance]]=3,"Good","Excellent")))</f>
        <v>Good</v>
      </c>
    </row>
    <row r="444" spans="1:37" x14ac:dyDescent="0.3">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c r="AJ444" t="str">
        <f>IF(Table1[[#This Row],[Column1]]&lt;=30,"18-30",IF(Table1[[#This Row],[Column1]]&lt;=50,"31-50","51+"))</f>
        <v>31-50</v>
      </c>
      <c r="AK444" t="str">
        <f>IF(Table1[[#This Row],[WorkLifeBalance]]=1,"Poor",IF(Table1[[#This Row],[WorkLifeBalance]]=2,"Fair",IF(Table1[[#This Row],[WorkLifeBalance]]=3,"Good","Excellent")))</f>
        <v>Fair</v>
      </c>
    </row>
    <row r="445" spans="1:37" x14ac:dyDescent="0.3">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c r="AJ445" t="str">
        <f>IF(Table1[[#This Row],[Column1]]&lt;=30,"18-30",IF(Table1[[#This Row],[Column1]]&lt;=50,"31-50","51+"))</f>
        <v>18-30</v>
      </c>
      <c r="AK445" t="str">
        <f>IF(Table1[[#This Row],[WorkLifeBalance]]=1,"Poor",IF(Table1[[#This Row],[WorkLifeBalance]]=2,"Fair",IF(Table1[[#This Row],[WorkLifeBalance]]=3,"Good","Excellent")))</f>
        <v>Good</v>
      </c>
    </row>
    <row r="446" spans="1:37" x14ac:dyDescent="0.3">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c r="AJ446" t="str">
        <f>IF(Table1[[#This Row],[Column1]]&lt;=30,"18-30",IF(Table1[[#This Row],[Column1]]&lt;=50,"31-50","51+"))</f>
        <v>31-50</v>
      </c>
      <c r="AK446" t="str">
        <f>IF(Table1[[#This Row],[WorkLifeBalance]]=1,"Poor",IF(Table1[[#This Row],[WorkLifeBalance]]=2,"Fair",IF(Table1[[#This Row],[WorkLifeBalance]]=3,"Good","Excellent")))</f>
        <v>Good</v>
      </c>
    </row>
    <row r="447" spans="1:37" x14ac:dyDescent="0.3">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c r="AJ447" t="str">
        <f>IF(Table1[[#This Row],[Column1]]&lt;=30,"18-30",IF(Table1[[#This Row],[Column1]]&lt;=50,"31-50","51+"))</f>
        <v>51+</v>
      </c>
      <c r="AK447" t="str">
        <f>IF(Table1[[#This Row],[WorkLifeBalance]]=1,"Poor",IF(Table1[[#This Row],[WorkLifeBalance]]=2,"Fair",IF(Table1[[#This Row],[WorkLifeBalance]]=3,"Good","Excellent")))</f>
        <v>Good</v>
      </c>
    </row>
    <row r="448" spans="1:37" x14ac:dyDescent="0.3">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c r="AJ448" t="str">
        <f>IF(Table1[[#This Row],[Column1]]&lt;=30,"18-30",IF(Table1[[#This Row],[Column1]]&lt;=50,"31-50","51+"))</f>
        <v>31-50</v>
      </c>
      <c r="AK448" t="str">
        <f>IF(Table1[[#This Row],[WorkLifeBalance]]=1,"Poor",IF(Table1[[#This Row],[WorkLifeBalance]]=2,"Fair",IF(Table1[[#This Row],[WorkLifeBalance]]=3,"Good","Excellent")))</f>
        <v>Good</v>
      </c>
    </row>
    <row r="449" spans="1:37" x14ac:dyDescent="0.3">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c r="AJ449" t="str">
        <f>IF(Table1[[#This Row],[Column1]]&lt;=30,"18-30",IF(Table1[[#This Row],[Column1]]&lt;=50,"31-50","51+"))</f>
        <v>31-50</v>
      </c>
      <c r="AK449" t="str">
        <f>IF(Table1[[#This Row],[WorkLifeBalance]]=1,"Poor",IF(Table1[[#This Row],[WorkLifeBalance]]=2,"Fair",IF(Table1[[#This Row],[WorkLifeBalance]]=3,"Good","Excellent")))</f>
        <v>Good</v>
      </c>
    </row>
    <row r="450" spans="1:37" x14ac:dyDescent="0.3">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c r="AJ450" t="str">
        <f>IF(Table1[[#This Row],[Column1]]&lt;=30,"18-30",IF(Table1[[#This Row],[Column1]]&lt;=50,"31-50","51+"))</f>
        <v>31-50</v>
      </c>
      <c r="AK450" t="str">
        <f>IF(Table1[[#This Row],[WorkLifeBalance]]=1,"Poor",IF(Table1[[#This Row],[WorkLifeBalance]]=2,"Fair",IF(Table1[[#This Row],[WorkLifeBalance]]=3,"Good","Excellent")))</f>
        <v>Good</v>
      </c>
    </row>
    <row r="451" spans="1:37" x14ac:dyDescent="0.3">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c r="AJ451" t="str">
        <f>IF(Table1[[#This Row],[Column1]]&lt;=30,"18-30",IF(Table1[[#This Row],[Column1]]&lt;=50,"31-50","51+"))</f>
        <v>31-50</v>
      </c>
      <c r="AK451" t="str">
        <f>IF(Table1[[#This Row],[WorkLifeBalance]]=1,"Poor",IF(Table1[[#This Row],[WorkLifeBalance]]=2,"Fair",IF(Table1[[#This Row],[WorkLifeBalance]]=3,"Good","Excellent")))</f>
        <v>Good</v>
      </c>
    </row>
    <row r="452" spans="1:37" x14ac:dyDescent="0.3">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c r="AJ452" t="str">
        <f>IF(Table1[[#This Row],[Column1]]&lt;=30,"18-30",IF(Table1[[#This Row],[Column1]]&lt;=50,"31-50","51+"))</f>
        <v>31-50</v>
      </c>
      <c r="AK452" t="str">
        <f>IF(Table1[[#This Row],[WorkLifeBalance]]=1,"Poor",IF(Table1[[#This Row],[WorkLifeBalance]]=2,"Fair",IF(Table1[[#This Row],[WorkLifeBalance]]=3,"Good","Excellent")))</f>
        <v>Excellent</v>
      </c>
    </row>
    <row r="453" spans="1:37" x14ac:dyDescent="0.3">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c r="AJ453" t="str">
        <f>IF(Table1[[#This Row],[Column1]]&lt;=30,"18-30",IF(Table1[[#This Row],[Column1]]&lt;=50,"31-50","51+"))</f>
        <v>31-50</v>
      </c>
      <c r="AK453" t="str">
        <f>IF(Table1[[#This Row],[WorkLifeBalance]]=1,"Poor",IF(Table1[[#This Row],[WorkLifeBalance]]=2,"Fair",IF(Table1[[#This Row],[WorkLifeBalance]]=3,"Good","Excellent")))</f>
        <v>Fair</v>
      </c>
    </row>
    <row r="454" spans="1:37" x14ac:dyDescent="0.3">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c r="AJ454" t="str">
        <f>IF(Table1[[#This Row],[Column1]]&lt;=30,"18-30",IF(Table1[[#This Row],[Column1]]&lt;=50,"31-50","51+"))</f>
        <v>31-50</v>
      </c>
      <c r="AK454" t="str">
        <f>IF(Table1[[#This Row],[WorkLifeBalance]]=1,"Poor",IF(Table1[[#This Row],[WorkLifeBalance]]=2,"Fair",IF(Table1[[#This Row],[WorkLifeBalance]]=3,"Good","Excellent")))</f>
        <v>Excellent</v>
      </c>
    </row>
    <row r="455" spans="1:37" x14ac:dyDescent="0.3">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c r="AJ455" t="str">
        <f>IF(Table1[[#This Row],[Column1]]&lt;=30,"18-30",IF(Table1[[#This Row],[Column1]]&lt;=50,"31-50","51+"))</f>
        <v>18-30</v>
      </c>
      <c r="AK455" t="str">
        <f>IF(Table1[[#This Row],[WorkLifeBalance]]=1,"Poor",IF(Table1[[#This Row],[WorkLifeBalance]]=2,"Fair",IF(Table1[[#This Row],[WorkLifeBalance]]=3,"Good","Excellent")))</f>
        <v>Fair</v>
      </c>
    </row>
    <row r="456" spans="1:37" x14ac:dyDescent="0.3">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c r="AJ456" t="str">
        <f>IF(Table1[[#This Row],[Column1]]&lt;=30,"18-30",IF(Table1[[#This Row],[Column1]]&lt;=50,"31-50","51+"))</f>
        <v>18-30</v>
      </c>
      <c r="AK456" t="str">
        <f>IF(Table1[[#This Row],[WorkLifeBalance]]=1,"Poor",IF(Table1[[#This Row],[WorkLifeBalance]]=2,"Fair",IF(Table1[[#This Row],[WorkLifeBalance]]=3,"Good","Excellent")))</f>
        <v>Excellent</v>
      </c>
    </row>
    <row r="457" spans="1:37" x14ac:dyDescent="0.3">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c r="AJ457" t="str">
        <f>IF(Table1[[#This Row],[Column1]]&lt;=30,"18-30",IF(Table1[[#This Row],[Column1]]&lt;=50,"31-50","51+"))</f>
        <v>31-50</v>
      </c>
      <c r="AK457" t="str">
        <f>IF(Table1[[#This Row],[WorkLifeBalance]]=1,"Poor",IF(Table1[[#This Row],[WorkLifeBalance]]=2,"Fair",IF(Table1[[#This Row],[WorkLifeBalance]]=3,"Good","Excellent")))</f>
        <v>Good</v>
      </c>
    </row>
    <row r="458" spans="1:37" x14ac:dyDescent="0.3">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c r="AJ458" t="str">
        <f>IF(Table1[[#This Row],[Column1]]&lt;=30,"18-30",IF(Table1[[#This Row],[Column1]]&lt;=50,"31-50","51+"))</f>
        <v>31-50</v>
      </c>
      <c r="AK458" t="str">
        <f>IF(Table1[[#This Row],[WorkLifeBalance]]=1,"Poor",IF(Table1[[#This Row],[WorkLifeBalance]]=2,"Fair",IF(Table1[[#This Row],[WorkLifeBalance]]=3,"Good","Excellent")))</f>
        <v>Fair</v>
      </c>
    </row>
    <row r="459" spans="1:37" x14ac:dyDescent="0.3">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c r="AJ459" t="str">
        <f>IF(Table1[[#This Row],[Column1]]&lt;=30,"18-30",IF(Table1[[#This Row],[Column1]]&lt;=50,"31-50","51+"))</f>
        <v>18-30</v>
      </c>
      <c r="AK459" t="str">
        <f>IF(Table1[[#This Row],[WorkLifeBalance]]=1,"Poor",IF(Table1[[#This Row],[WorkLifeBalance]]=2,"Fair",IF(Table1[[#This Row],[WorkLifeBalance]]=3,"Good","Excellent")))</f>
        <v>Good</v>
      </c>
    </row>
    <row r="460" spans="1:37" x14ac:dyDescent="0.3">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c r="AJ460" t="str">
        <f>IF(Table1[[#This Row],[Column1]]&lt;=30,"18-30",IF(Table1[[#This Row],[Column1]]&lt;=50,"31-50","51+"))</f>
        <v>31-50</v>
      </c>
      <c r="AK460" t="str">
        <f>IF(Table1[[#This Row],[WorkLifeBalance]]=1,"Poor",IF(Table1[[#This Row],[WorkLifeBalance]]=2,"Fair",IF(Table1[[#This Row],[WorkLifeBalance]]=3,"Good","Excellent")))</f>
        <v>Good</v>
      </c>
    </row>
    <row r="461" spans="1:37" x14ac:dyDescent="0.3">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c r="AJ461" t="str">
        <f>IF(Table1[[#This Row],[Column1]]&lt;=30,"18-30",IF(Table1[[#This Row],[Column1]]&lt;=50,"31-50","51+"))</f>
        <v>31-50</v>
      </c>
      <c r="AK461" t="str">
        <f>IF(Table1[[#This Row],[WorkLifeBalance]]=1,"Poor",IF(Table1[[#This Row],[WorkLifeBalance]]=2,"Fair",IF(Table1[[#This Row],[WorkLifeBalance]]=3,"Good","Excellent")))</f>
        <v>Good</v>
      </c>
    </row>
    <row r="462" spans="1:37" x14ac:dyDescent="0.3">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c r="AJ462" t="str">
        <f>IF(Table1[[#This Row],[Column1]]&lt;=30,"18-30",IF(Table1[[#This Row],[Column1]]&lt;=50,"31-50","51+"))</f>
        <v>18-30</v>
      </c>
      <c r="AK462" t="str">
        <f>IF(Table1[[#This Row],[WorkLifeBalance]]=1,"Poor",IF(Table1[[#This Row],[WorkLifeBalance]]=2,"Fair",IF(Table1[[#This Row],[WorkLifeBalance]]=3,"Good","Excellent")))</f>
        <v>Good</v>
      </c>
    </row>
    <row r="463" spans="1:37" x14ac:dyDescent="0.3">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c r="AJ463" t="str">
        <f>IF(Table1[[#This Row],[Column1]]&lt;=30,"18-30",IF(Table1[[#This Row],[Column1]]&lt;=50,"31-50","51+"))</f>
        <v>31-50</v>
      </c>
      <c r="AK463" t="str">
        <f>IF(Table1[[#This Row],[WorkLifeBalance]]=1,"Poor",IF(Table1[[#This Row],[WorkLifeBalance]]=2,"Fair",IF(Table1[[#This Row],[WorkLifeBalance]]=3,"Good","Excellent")))</f>
        <v>Good</v>
      </c>
    </row>
    <row r="464" spans="1:37" x14ac:dyDescent="0.3">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c r="AJ464" t="str">
        <f>IF(Table1[[#This Row],[Column1]]&lt;=30,"18-30",IF(Table1[[#This Row],[Column1]]&lt;=50,"31-50","51+"))</f>
        <v>31-50</v>
      </c>
      <c r="AK464" t="str">
        <f>IF(Table1[[#This Row],[WorkLifeBalance]]=1,"Poor",IF(Table1[[#This Row],[WorkLifeBalance]]=2,"Fair",IF(Table1[[#This Row],[WorkLifeBalance]]=3,"Good","Excellent")))</f>
        <v>Good</v>
      </c>
    </row>
    <row r="465" spans="1:37" x14ac:dyDescent="0.3">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c r="AJ465" t="str">
        <f>IF(Table1[[#This Row],[Column1]]&lt;=30,"18-30",IF(Table1[[#This Row],[Column1]]&lt;=50,"31-50","51+"))</f>
        <v>18-30</v>
      </c>
      <c r="AK465" t="str">
        <f>IF(Table1[[#This Row],[WorkLifeBalance]]=1,"Poor",IF(Table1[[#This Row],[WorkLifeBalance]]=2,"Fair",IF(Table1[[#This Row],[WorkLifeBalance]]=3,"Good","Excellent")))</f>
        <v>Poor</v>
      </c>
    </row>
    <row r="466" spans="1:37" x14ac:dyDescent="0.3">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c r="AJ466" t="str">
        <f>IF(Table1[[#This Row],[Column1]]&lt;=30,"18-30",IF(Table1[[#This Row],[Column1]]&lt;=50,"31-50","51+"))</f>
        <v>31-50</v>
      </c>
      <c r="AK466" t="str">
        <f>IF(Table1[[#This Row],[WorkLifeBalance]]=1,"Poor",IF(Table1[[#This Row],[WorkLifeBalance]]=2,"Fair",IF(Table1[[#This Row],[WorkLifeBalance]]=3,"Good","Excellent")))</f>
        <v>Excellent</v>
      </c>
    </row>
    <row r="467" spans="1:37" x14ac:dyDescent="0.3">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c r="AJ467" t="str">
        <f>IF(Table1[[#This Row],[Column1]]&lt;=30,"18-30",IF(Table1[[#This Row],[Column1]]&lt;=50,"31-50","51+"))</f>
        <v>31-50</v>
      </c>
      <c r="AK467" t="str">
        <f>IF(Table1[[#This Row],[WorkLifeBalance]]=1,"Poor",IF(Table1[[#This Row],[WorkLifeBalance]]=2,"Fair",IF(Table1[[#This Row],[WorkLifeBalance]]=3,"Good","Excellent")))</f>
        <v>Fair</v>
      </c>
    </row>
    <row r="468" spans="1:37" x14ac:dyDescent="0.3">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c r="AJ468" t="str">
        <f>IF(Table1[[#This Row],[Column1]]&lt;=30,"18-30",IF(Table1[[#This Row],[Column1]]&lt;=50,"31-50","51+"))</f>
        <v>31-50</v>
      </c>
      <c r="AK468" t="str">
        <f>IF(Table1[[#This Row],[WorkLifeBalance]]=1,"Poor",IF(Table1[[#This Row],[WorkLifeBalance]]=2,"Fair",IF(Table1[[#This Row],[WorkLifeBalance]]=3,"Good","Excellent")))</f>
        <v>Good</v>
      </c>
    </row>
    <row r="469" spans="1:37" x14ac:dyDescent="0.3">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c r="AJ469" t="str">
        <f>IF(Table1[[#This Row],[Column1]]&lt;=30,"18-30",IF(Table1[[#This Row],[Column1]]&lt;=50,"31-50","51+"))</f>
        <v>31-50</v>
      </c>
      <c r="AK469" t="str">
        <f>IF(Table1[[#This Row],[WorkLifeBalance]]=1,"Poor",IF(Table1[[#This Row],[WorkLifeBalance]]=2,"Fair",IF(Table1[[#This Row],[WorkLifeBalance]]=3,"Good","Excellent")))</f>
        <v>Good</v>
      </c>
    </row>
    <row r="470" spans="1:37" x14ac:dyDescent="0.3">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c r="AJ470" t="str">
        <f>IF(Table1[[#This Row],[Column1]]&lt;=30,"18-30",IF(Table1[[#This Row],[Column1]]&lt;=50,"31-50","51+"))</f>
        <v>51+</v>
      </c>
      <c r="AK470" t="str">
        <f>IF(Table1[[#This Row],[WorkLifeBalance]]=1,"Poor",IF(Table1[[#This Row],[WorkLifeBalance]]=2,"Fair",IF(Table1[[#This Row],[WorkLifeBalance]]=3,"Good","Excellent")))</f>
        <v>Good</v>
      </c>
    </row>
    <row r="471" spans="1:37" x14ac:dyDescent="0.3">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c r="AJ471" t="str">
        <f>IF(Table1[[#This Row],[Column1]]&lt;=30,"18-30",IF(Table1[[#This Row],[Column1]]&lt;=50,"31-50","51+"))</f>
        <v>31-50</v>
      </c>
      <c r="AK471" t="str">
        <f>IF(Table1[[#This Row],[WorkLifeBalance]]=1,"Poor",IF(Table1[[#This Row],[WorkLifeBalance]]=2,"Fair",IF(Table1[[#This Row],[WorkLifeBalance]]=3,"Good","Excellent")))</f>
        <v>Good</v>
      </c>
    </row>
    <row r="472" spans="1:37" x14ac:dyDescent="0.3">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c r="AJ472" t="str">
        <f>IF(Table1[[#This Row],[Column1]]&lt;=30,"18-30",IF(Table1[[#This Row],[Column1]]&lt;=50,"31-50","51+"))</f>
        <v>18-30</v>
      </c>
      <c r="AK472" t="str">
        <f>IF(Table1[[#This Row],[WorkLifeBalance]]=1,"Poor",IF(Table1[[#This Row],[WorkLifeBalance]]=2,"Fair",IF(Table1[[#This Row],[WorkLifeBalance]]=3,"Good","Excellent")))</f>
        <v>Good</v>
      </c>
    </row>
    <row r="473" spans="1:37" x14ac:dyDescent="0.3">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c r="AJ473" t="str">
        <f>IF(Table1[[#This Row],[Column1]]&lt;=30,"18-30",IF(Table1[[#This Row],[Column1]]&lt;=50,"31-50","51+"))</f>
        <v>31-50</v>
      </c>
      <c r="AK473" t="str">
        <f>IF(Table1[[#This Row],[WorkLifeBalance]]=1,"Poor",IF(Table1[[#This Row],[WorkLifeBalance]]=2,"Fair",IF(Table1[[#This Row],[WorkLifeBalance]]=3,"Good","Excellent")))</f>
        <v>Good</v>
      </c>
    </row>
    <row r="474" spans="1:37" x14ac:dyDescent="0.3">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c r="AJ474" t="str">
        <f>IF(Table1[[#This Row],[Column1]]&lt;=30,"18-30",IF(Table1[[#This Row],[Column1]]&lt;=50,"31-50","51+"))</f>
        <v>31-50</v>
      </c>
      <c r="AK474" t="str">
        <f>IF(Table1[[#This Row],[WorkLifeBalance]]=1,"Poor",IF(Table1[[#This Row],[WorkLifeBalance]]=2,"Fair",IF(Table1[[#This Row],[WorkLifeBalance]]=3,"Good","Excellent")))</f>
        <v>Fair</v>
      </c>
    </row>
    <row r="475" spans="1:37" x14ac:dyDescent="0.3">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c r="AJ475" t="str">
        <f>IF(Table1[[#This Row],[Column1]]&lt;=30,"18-30",IF(Table1[[#This Row],[Column1]]&lt;=50,"31-50","51+"))</f>
        <v>31-50</v>
      </c>
      <c r="AK475" t="str">
        <f>IF(Table1[[#This Row],[WorkLifeBalance]]=1,"Poor",IF(Table1[[#This Row],[WorkLifeBalance]]=2,"Fair",IF(Table1[[#This Row],[WorkLifeBalance]]=3,"Good","Excellent")))</f>
        <v>Good</v>
      </c>
    </row>
    <row r="476" spans="1:37" x14ac:dyDescent="0.3">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c r="AJ476" t="str">
        <f>IF(Table1[[#This Row],[Column1]]&lt;=30,"18-30",IF(Table1[[#This Row],[Column1]]&lt;=50,"31-50","51+"))</f>
        <v>18-30</v>
      </c>
      <c r="AK476" t="str">
        <f>IF(Table1[[#This Row],[WorkLifeBalance]]=1,"Poor",IF(Table1[[#This Row],[WorkLifeBalance]]=2,"Fair",IF(Table1[[#This Row],[WorkLifeBalance]]=3,"Good","Excellent")))</f>
        <v>Good</v>
      </c>
    </row>
    <row r="477" spans="1:37" x14ac:dyDescent="0.3">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c r="AJ477" t="str">
        <f>IF(Table1[[#This Row],[Column1]]&lt;=30,"18-30",IF(Table1[[#This Row],[Column1]]&lt;=50,"31-50","51+"))</f>
        <v>18-30</v>
      </c>
      <c r="AK477" t="str">
        <f>IF(Table1[[#This Row],[WorkLifeBalance]]=1,"Poor",IF(Table1[[#This Row],[WorkLifeBalance]]=2,"Fair",IF(Table1[[#This Row],[WorkLifeBalance]]=3,"Good","Excellent")))</f>
        <v>Excellent</v>
      </c>
    </row>
    <row r="478" spans="1:37" x14ac:dyDescent="0.3">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c r="AJ478" t="str">
        <f>IF(Table1[[#This Row],[Column1]]&lt;=30,"18-30",IF(Table1[[#This Row],[Column1]]&lt;=50,"31-50","51+"))</f>
        <v>18-30</v>
      </c>
      <c r="AK478" t="str">
        <f>IF(Table1[[#This Row],[WorkLifeBalance]]=1,"Poor",IF(Table1[[#This Row],[WorkLifeBalance]]=2,"Fair",IF(Table1[[#This Row],[WorkLifeBalance]]=3,"Good","Excellent")))</f>
        <v>Good</v>
      </c>
    </row>
    <row r="479" spans="1:37" x14ac:dyDescent="0.3">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c r="AJ479" t="str">
        <f>IF(Table1[[#This Row],[Column1]]&lt;=30,"18-30",IF(Table1[[#This Row],[Column1]]&lt;=50,"31-50","51+"))</f>
        <v>31-50</v>
      </c>
      <c r="AK479" t="str">
        <f>IF(Table1[[#This Row],[WorkLifeBalance]]=1,"Poor",IF(Table1[[#This Row],[WorkLifeBalance]]=2,"Fair",IF(Table1[[#This Row],[WorkLifeBalance]]=3,"Good","Excellent")))</f>
        <v>Good</v>
      </c>
    </row>
    <row r="480" spans="1:37" x14ac:dyDescent="0.3">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c r="AJ480" t="str">
        <f>IF(Table1[[#This Row],[Column1]]&lt;=30,"18-30",IF(Table1[[#This Row],[Column1]]&lt;=50,"31-50","51+"))</f>
        <v>18-30</v>
      </c>
      <c r="AK480" t="str">
        <f>IF(Table1[[#This Row],[WorkLifeBalance]]=1,"Poor",IF(Table1[[#This Row],[WorkLifeBalance]]=2,"Fair",IF(Table1[[#This Row],[WorkLifeBalance]]=3,"Good","Excellent")))</f>
        <v>Good</v>
      </c>
    </row>
    <row r="481" spans="1:37" x14ac:dyDescent="0.3">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c r="AJ481" t="str">
        <f>IF(Table1[[#This Row],[Column1]]&lt;=30,"18-30",IF(Table1[[#This Row],[Column1]]&lt;=50,"31-50","51+"))</f>
        <v>18-30</v>
      </c>
      <c r="AK481" t="str">
        <f>IF(Table1[[#This Row],[WorkLifeBalance]]=1,"Poor",IF(Table1[[#This Row],[WorkLifeBalance]]=2,"Fair",IF(Table1[[#This Row],[WorkLifeBalance]]=3,"Good","Excellent")))</f>
        <v>Good</v>
      </c>
    </row>
    <row r="482" spans="1:37" x14ac:dyDescent="0.3">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c r="AJ482" t="str">
        <f>IF(Table1[[#This Row],[Column1]]&lt;=30,"18-30",IF(Table1[[#This Row],[Column1]]&lt;=50,"31-50","51+"))</f>
        <v>18-30</v>
      </c>
      <c r="AK482" t="str">
        <f>IF(Table1[[#This Row],[WorkLifeBalance]]=1,"Poor",IF(Table1[[#This Row],[WorkLifeBalance]]=2,"Fair",IF(Table1[[#This Row],[WorkLifeBalance]]=3,"Good","Excellent")))</f>
        <v>Excellent</v>
      </c>
    </row>
    <row r="483" spans="1:37" x14ac:dyDescent="0.3">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c r="AJ483" t="str">
        <f>IF(Table1[[#This Row],[Column1]]&lt;=30,"18-30",IF(Table1[[#This Row],[Column1]]&lt;=50,"31-50","51+"))</f>
        <v>31-50</v>
      </c>
      <c r="AK483" t="str">
        <f>IF(Table1[[#This Row],[WorkLifeBalance]]=1,"Poor",IF(Table1[[#This Row],[WorkLifeBalance]]=2,"Fair",IF(Table1[[#This Row],[WorkLifeBalance]]=3,"Good","Excellent")))</f>
        <v>Good</v>
      </c>
    </row>
    <row r="484" spans="1:37" x14ac:dyDescent="0.3">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c r="AJ484" t="str">
        <f>IF(Table1[[#This Row],[Column1]]&lt;=30,"18-30",IF(Table1[[#This Row],[Column1]]&lt;=50,"31-50","51+"))</f>
        <v>31-50</v>
      </c>
      <c r="AK484" t="str">
        <f>IF(Table1[[#This Row],[WorkLifeBalance]]=1,"Poor",IF(Table1[[#This Row],[WorkLifeBalance]]=2,"Fair",IF(Table1[[#This Row],[WorkLifeBalance]]=3,"Good","Excellent")))</f>
        <v>Poor</v>
      </c>
    </row>
    <row r="485" spans="1:37" x14ac:dyDescent="0.3">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c r="AJ485" t="str">
        <f>IF(Table1[[#This Row],[Column1]]&lt;=30,"18-30",IF(Table1[[#This Row],[Column1]]&lt;=50,"31-50","51+"))</f>
        <v>31-50</v>
      </c>
      <c r="AK485" t="str">
        <f>IF(Table1[[#This Row],[WorkLifeBalance]]=1,"Poor",IF(Table1[[#This Row],[WorkLifeBalance]]=2,"Fair",IF(Table1[[#This Row],[WorkLifeBalance]]=3,"Good","Excellent")))</f>
        <v>Good</v>
      </c>
    </row>
    <row r="486" spans="1:37" x14ac:dyDescent="0.3">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c r="AJ486" t="str">
        <f>IF(Table1[[#This Row],[Column1]]&lt;=30,"18-30",IF(Table1[[#This Row],[Column1]]&lt;=50,"31-50","51+"))</f>
        <v>31-50</v>
      </c>
      <c r="AK486" t="str">
        <f>IF(Table1[[#This Row],[WorkLifeBalance]]=1,"Poor",IF(Table1[[#This Row],[WorkLifeBalance]]=2,"Fair",IF(Table1[[#This Row],[WorkLifeBalance]]=3,"Good","Excellent")))</f>
        <v>Excellent</v>
      </c>
    </row>
    <row r="487" spans="1:37" x14ac:dyDescent="0.3">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c r="AJ487" t="str">
        <f>IF(Table1[[#This Row],[Column1]]&lt;=30,"18-30",IF(Table1[[#This Row],[Column1]]&lt;=50,"31-50","51+"))</f>
        <v>18-30</v>
      </c>
      <c r="AK487" t="str">
        <f>IF(Table1[[#This Row],[WorkLifeBalance]]=1,"Poor",IF(Table1[[#This Row],[WorkLifeBalance]]=2,"Fair",IF(Table1[[#This Row],[WorkLifeBalance]]=3,"Good","Excellent")))</f>
        <v>Fair</v>
      </c>
    </row>
    <row r="488" spans="1:37" x14ac:dyDescent="0.3">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c r="AJ488" t="str">
        <f>IF(Table1[[#This Row],[Column1]]&lt;=30,"18-30",IF(Table1[[#This Row],[Column1]]&lt;=50,"31-50","51+"))</f>
        <v>31-50</v>
      </c>
      <c r="AK488" t="str">
        <f>IF(Table1[[#This Row],[WorkLifeBalance]]=1,"Poor",IF(Table1[[#This Row],[WorkLifeBalance]]=2,"Fair",IF(Table1[[#This Row],[WorkLifeBalance]]=3,"Good","Excellent")))</f>
        <v>Fair</v>
      </c>
    </row>
    <row r="489" spans="1:37" x14ac:dyDescent="0.3">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c r="AJ489" t="str">
        <f>IF(Table1[[#This Row],[Column1]]&lt;=30,"18-30",IF(Table1[[#This Row],[Column1]]&lt;=50,"31-50","51+"))</f>
        <v>18-30</v>
      </c>
      <c r="AK489" t="str">
        <f>IF(Table1[[#This Row],[WorkLifeBalance]]=1,"Poor",IF(Table1[[#This Row],[WorkLifeBalance]]=2,"Fair",IF(Table1[[#This Row],[WorkLifeBalance]]=3,"Good","Excellent")))</f>
        <v>Excellent</v>
      </c>
    </row>
    <row r="490" spans="1:37" x14ac:dyDescent="0.3">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c r="AJ490" t="str">
        <f>IF(Table1[[#This Row],[Column1]]&lt;=30,"18-30",IF(Table1[[#This Row],[Column1]]&lt;=50,"31-50","51+"))</f>
        <v>31-50</v>
      </c>
      <c r="AK490" t="str">
        <f>IF(Table1[[#This Row],[WorkLifeBalance]]=1,"Poor",IF(Table1[[#This Row],[WorkLifeBalance]]=2,"Fair",IF(Table1[[#This Row],[WorkLifeBalance]]=3,"Good","Excellent")))</f>
        <v>Good</v>
      </c>
    </row>
    <row r="491" spans="1:37" x14ac:dyDescent="0.3">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c r="AJ491" t="str">
        <f>IF(Table1[[#This Row],[Column1]]&lt;=30,"18-30",IF(Table1[[#This Row],[Column1]]&lt;=50,"31-50","51+"))</f>
        <v>31-50</v>
      </c>
      <c r="AK491" t="str">
        <f>IF(Table1[[#This Row],[WorkLifeBalance]]=1,"Poor",IF(Table1[[#This Row],[WorkLifeBalance]]=2,"Fair",IF(Table1[[#This Row],[WorkLifeBalance]]=3,"Good","Excellent")))</f>
        <v>Fair</v>
      </c>
    </row>
    <row r="492" spans="1:37" x14ac:dyDescent="0.3">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c r="AJ492" t="str">
        <f>IF(Table1[[#This Row],[Column1]]&lt;=30,"18-30",IF(Table1[[#This Row],[Column1]]&lt;=50,"31-50","51+"))</f>
        <v>31-50</v>
      </c>
      <c r="AK492" t="str">
        <f>IF(Table1[[#This Row],[WorkLifeBalance]]=1,"Poor",IF(Table1[[#This Row],[WorkLifeBalance]]=2,"Fair",IF(Table1[[#This Row],[WorkLifeBalance]]=3,"Good","Excellent")))</f>
        <v>Fair</v>
      </c>
    </row>
    <row r="493" spans="1:37" x14ac:dyDescent="0.3">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c r="AJ493" t="str">
        <f>IF(Table1[[#This Row],[Column1]]&lt;=30,"18-30",IF(Table1[[#This Row],[Column1]]&lt;=50,"31-50","51+"))</f>
        <v>31-50</v>
      </c>
      <c r="AK493" t="str">
        <f>IF(Table1[[#This Row],[WorkLifeBalance]]=1,"Poor",IF(Table1[[#This Row],[WorkLifeBalance]]=2,"Fair",IF(Table1[[#This Row],[WorkLifeBalance]]=3,"Good","Excellent")))</f>
        <v>Good</v>
      </c>
    </row>
    <row r="494" spans="1:37" x14ac:dyDescent="0.3">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c r="AJ494" t="str">
        <f>IF(Table1[[#This Row],[Column1]]&lt;=30,"18-30",IF(Table1[[#This Row],[Column1]]&lt;=50,"31-50","51+"))</f>
        <v>31-50</v>
      </c>
      <c r="AK494" t="str">
        <f>IF(Table1[[#This Row],[WorkLifeBalance]]=1,"Poor",IF(Table1[[#This Row],[WorkLifeBalance]]=2,"Fair",IF(Table1[[#This Row],[WorkLifeBalance]]=3,"Good","Excellent")))</f>
        <v>Poor</v>
      </c>
    </row>
    <row r="495" spans="1:37" x14ac:dyDescent="0.3">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c r="AJ495" t="str">
        <f>IF(Table1[[#This Row],[Column1]]&lt;=30,"18-30",IF(Table1[[#This Row],[Column1]]&lt;=50,"31-50","51+"))</f>
        <v>31-50</v>
      </c>
      <c r="AK495" t="str">
        <f>IF(Table1[[#This Row],[WorkLifeBalance]]=1,"Poor",IF(Table1[[#This Row],[WorkLifeBalance]]=2,"Fair",IF(Table1[[#This Row],[WorkLifeBalance]]=3,"Good","Excellent")))</f>
        <v>Excellent</v>
      </c>
    </row>
    <row r="496" spans="1:37" x14ac:dyDescent="0.3">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c r="AJ496" t="str">
        <f>IF(Table1[[#This Row],[Column1]]&lt;=30,"18-30",IF(Table1[[#This Row],[Column1]]&lt;=50,"31-50","51+"))</f>
        <v>31-50</v>
      </c>
      <c r="AK496" t="str">
        <f>IF(Table1[[#This Row],[WorkLifeBalance]]=1,"Poor",IF(Table1[[#This Row],[WorkLifeBalance]]=2,"Fair",IF(Table1[[#This Row],[WorkLifeBalance]]=3,"Good","Excellent")))</f>
        <v>Good</v>
      </c>
    </row>
    <row r="497" spans="1:37" x14ac:dyDescent="0.3">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c r="AJ497" t="str">
        <f>IF(Table1[[#This Row],[Column1]]&lt;=30,"18-30",IF(Table1[[#This Row],[Column1]]&lt;=50,"31-50","51+"))</f>
        <v>18-30</v>
      </c>
      <c r="AK497" t="str">
        <f>IF(Table1[[#This Row],[WorkLifeBalance]]=1,"Poor",IF(Table1[[#This Row],[WorkLifeBalance]]=2,"Fair",IF(Table1[[#This Row],[WorkLifeBalance]]=3,"Good","Excellent")))</f>
        <v>Good</v>
      </c>
    </row>
    <row r="498" spans="1:37" x14ac:dyDescent="0.3">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c r="AJ498" t="str">
        <f>IF(Table1[[#This Row],[Column1]]&lt;=30,"18-30",IF(Table1[[#This Row],[Column1]]&lt;=50,"31-50","51+"))</f>
        <v>18-30</v>
      </c>
      <c r="AK498" t="str">
        <f>IF(Table1[[#This Row],[WorkLifeBalance]]=1,"Poor",IF(Table1[[#This Row],[WorkLifeBalance]]=2,"Fair",IF(Table1[[#This Row],[WorkLifeBalance]]=3,"Good","Excellent")))</f>
        <v>Good</v>
      </c>
    </row>
    <row r="499" spans="1:37" x14ac:dyDescent="0.3">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c r="AJ499" t="str">
        <f>IF(Table1[[#This Row],[Column1]]&lt;=30,"18-30",IF(Table1[[#This Row],[Column1]]&lt;=50,"31-50","51+"))</f>
        <v>31-50</v>
      </c>
      <c r="AK499" t="str">
        <f>IF(Table1[[#This Row],[WorkLifeBalance]]=1,"Poor",IF(Table1[[#This Row],[WorkLifeBalance]]=2,"Fair",IF(Table1[[#This Row],[WorkLifeBalance]]=3,"Good","Excellent")))</f>
        <v>Excellent</v>
      </c>
    </row>
    <row r="500" spans="1:37" x14ac:dyDescent="0.3">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c r="AJ500" t="str">
        <f>IF(Table1[[#This Row],[Column1]]&lt;=30,"18-30",IF(Table1[[#This Row],[Column1]]&lt;=50,"31-50","51+"))</f>
        <v>18-30</v>
      </c>
      <c r="AK500" t="str">
        <f>IF(Table1[[#This Row],[WorkLifeBalance]]=1,"Poor",IF(Table1[[#This Row],[WorkLifeBalance]]=2,"Fair",IF(Table1[[#This Row],[WorkLifeBalance]]=3,"Good","Excellent")))</f>
        <v>Good</v>
      </c>
    </row>
    <row r="501" spans="1:37" x14ac:dyDescent="0.3">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c r="AJ501" t="str">
        <f>IF(Table1[[#This Row],[Column1]]&lt;=30,"18-30",IF(Table1[[#This Row],[Column1]]&lt;=50,"31-50","51+"))</f>
        <v>31-50</v>
      </c>
      <c r="AK501" t="str">
        <f>IF(Table1[[#This Row],[WorkLifeBalance]]=1,"Poor",IF(Table1[[#This Row],[WorkLifeBalance]]=2,"Fair",IF(Table1[[#This Row],[WorkLifeBalance]]=3,"Good","Excellent")))</f>
        <v>Good</v>
      </c>
    </row>
    <row r="502" spans="1:37" x14ac:dyDescent="0.3">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c r="AJ502" t="str">
        <f>IF(Table1[[#This Row],[Column1]]&lt;=30,"18-30",IF(Table1[[#This Row],[Column1]]&lt;=50,"31-50","51+"))</f>
        <v>31-50</v>
      </c>
      <c r="AK502" t="str">
        <f>IF(Table1[[#This Row],[WorkLifeBalance]]=1,"Poor",IF(Table1[[#This Row],[WorkLifeBalance]]=2,"Fair",IF(Table1[[#This Row],[WorkLifeBalance]]=3,"Good","Excellent")))</f>
        <v>Fair</v>
      </c>
    </row>
    <row r="503" spans="1:37" x14ac:dyDescent="0.3">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c r="AJ503" t="str">
        <f>IF(Table1[[#This Row],[Column1]]&lt;=30,"18-30",IF(Table1[[#This Row],[Column1]]&lt;=50,"31-50","51+"))</f>
        <v>18-30</v>
      </c>
      <c r="AK503" t="str">
        <f>IF(Table1[[#This Row],[WorkLifeBalance]]=1,"Poor",IF(Table1[[#This Row],[WorkLifeBalance]]=2,"Fair",IF(Table1[[#This Row],[WorkLifeBalance]]=3,"Good","Excellent")))</f>
        <v>Good</v>
      </c>
    </row>
    <row r="504" spans="1:37" x14ac:dyDescent="0.3">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c r="AJ504" t="str">
        <f>IF(Table1[[#This Row],[Column1]]&lt;=30,"18-30",IF(Table1[[#This Row],[Column1]]&lt;=50,"31-50","51+"))</f>
        <v>51+</v>
      </c>
      <c r="AK504" t="str">
        <f>IF(Table1[[#This Row],[WorkLifeBalance]]=1,"Poor",IF(Table1[[#This Row],[WorkLifeBalance]]=2,"Fair",IF(Table1[[#This Row],[WorkLifeBalance]]=3,"Good","Excellent")))</f>
        <v>Excellent</v>
      </c>
    </row>
    <row r="505" spans="1:37" x14ac:dyDescent="0.3">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c r="AJ505" t="str">
        <f>IF(Table1[[#This Row],[Column1]]&lt;=30,"18-30",IF(Table1[[#This Row],[Column1]]&lt;=50,"31-50","51+"))</f>
        <v>31-50</v>
      </c>
      <c r="AK505" t="str">
        <f>IF(Table1[[#This Row],[WorkLifeBalance]]=1,"Poor",IF(Table1[[#This Row],[WorkLifeBalance]]=2,"Fair",IF(Table1[[#This Row],[WorkLifeBalance]]=3,"Good","Excellent")))</f>
        <v>Fair</v>
      </c>
    </row>
    <row r="506" spans="1:37" x14ac:dyDescent="0.3">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c r="AJ506" t="str">
        <f>IF(Table1[[#This Row],[Column1]]&lt;=30,"18-30",IF(Table1[[#This Row],[Column1]]&lt;=50,"31-50","51+"))</f>
        <v>31-50</v>
      </c>
      <c r="AK506" t="str">
        <f>IF(Table1[[#This Row],[WorkLifeBalance]]=1,"Poor",IF(Table1[[#This Row],[WorkLifeBalance]]=2,"Fair",IF(Table1[[#This Row],[WorkLifeBalance]]=3,"Good","Excellent")))</f>
        <v>Good</v>
      </c>
    </row>
    <row r="507" spans="1:37" x14ac:dyDescent="0.3">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c r="AJ507" t="str">
        <f>IF(Table1[[#This Row],[Column1]]&lt;=30,"18-30",IF(Table1[[#This Row],[Column1]]&lt;=50,"31-50","51+"))</f>
        <v>18-30</v>
      </c>
      <c r="AK507" t="str">
        <f>IF(Table1[[#This Row],[WorkLifeBalance]]=1,"Poor",IF(Table1[[#This Row],[WorkLifeBalance]]=2,"Fair",IF(Table1[[#This Row],[WorkLifeBalance]]=3,"Good","Excellent")))</f>
        <v>Good</v>
      </c>
    </row>
    <row r="508" spans="1:37" x14ac:dyDescent="0.3">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c r="AJ508" t="str">
        <f>IF(Table1[[#This Row],[Column1]]&lt;=30,"18-30",IF(Table1[[#This Row],[Column1]]&lt;=50,"31-50","51+"))</f>
        <v>31-50</v>
      </c>
      <c r="AK508" t="str">
        <f>IF(Table1[[#This Row],[WorkLifeBalance]]=1,"Poor",IF(Table1[[#This Row],[WorkLifeBalance]]=2,"Fair",IF(Table1[[#This Row],[WorkLifeBalance]]=3,"Good","Excellent")))</f>
        <v>Good</v>
      </c>
    </row>
    <row r="509" spans="1:37" x14ac:dyDescent="0.3">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c r="AJ509" t="str">
        <f>IF(Table1[[#This Row],[Column1]]&lt;=30,"18-30",IF(Table1[[#This Row],[Column1]]&lt;=50,"31-50","51+"))</f>
        <v>18-30</v>
      </c>
      <c r="AK509" t="str">
        <f>IF(Table1[[#This Row],[WorkLifeBalance]]=1,"Poor",IF(Table1[[#This Row],[WorkLifeBalance]]=2,"Fair",IF(Table1[[#This Row],[WorkLifeBalance]]=3,"Good","Excellent")))</f>
        <v>Fair</v>
      </c>
    </row>
    <row r="510" spans="1:37" x14ac:dyDescent="0.3">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c r="AJ510" t="str">
        <f>IF(Table1[[#This Row],[Column1]]&lt;=30,"18-30",IF(Table1[[#This Row],[Column1]]&lt;=50,"31-50","51+"))</f>
        <v>31-50</v>
      </c>
      <c r="AK510" t="str">
        <f>IF(Table1[[#This Row],[WorkLifeBalance]]=1,"Poor",IF(Table1[[#This Row],[WorkLifeBalance]]=2,"Fair",IF(Table1[[#This Row],[WorkLifeBalance]]=3,"Good","Excellent")))</f>
        <v>Good</v>
      </c>
    </row>
    <row r="511" spans="1:37" x14ac:dyDescent="0.3">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c r="AJ511" t="str">
        <f>IF(Table1[[#This Row],[Column1]]&lt;=30,"18-30",IF(Table1[[#This Row],[Column1]]&lt;=50,"31-50","51+"))</f>
        <v>31-50</v>
      </c>
      <c r="AK511" t="str">
        <f>IF(Table1[[#This Row],[WorkLifeBalance]]=1,"Poor",IF(Table1[[#This Row],[WorkLifeBalance]]=2,"Fair",IF(Table1[[#This Row],[WorkLifeBalance]]=3,"Good","Excellent")))</f>
        <v>Poor</v>
      </c>
    </row>
    <row r="512" spans="1:37" x14ac:dyDescent="0.3">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c r="AJ512" t="str">
        <f>IF(Table1[[#This Row],[Column1]]&lt;=30,"18-30",IF(Table1[[#This Row],[Column1]]&lt;=50,"31-50","51+"))</f>
        <v>51+</v>
      </c>
      <c r="AK512" t="str">
        <f>IF(Table1[[#This Row],[WorkLifeBalance]]=1,"Poor",IF(Table1[[#This Row],[WorkLifeBalance]]=2,"Fair",IF(Table1[[#This Row],[WorkLifeBalance]]=3,"Good","Excellent")))</f>
        <v>Excellent</v>
      </c>
    </row>
    <row r="513" spans="1:37" x14ac:dyDescent="0.3">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c r="AJ513" t="str">
        <f>IF(Table1[[#This Row],[Column1]]&lt;=30,"18-30",IF(Table1[[#This Row],[Column1]]&lt;=50,"31-50","51+"))</f>
        <v>31-50</v>
      </c>
      <c r="AK513" t="str">
        <f>IF(Table1[[#This Row],[WorkLifeBalance]]=1,"Poor",IF(Table1[[#This Row],[WorkLifeBalance]]=2,"Fair",IF(Table1[[#This Row],[WorkLifeBalance]]=3,"Good","Excellent")))</f>
        <v>Good</v>
      </c>
    </row>
    <row r="514" spans="1:37" x14ac:dyDescent="0.3">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c r="AJ514" t="str">
        <f>IF(Table1[[#This Row],[Column1]]&lt;=30,"18-30",IF(Table1[[#This Row],[Column1]]&lt;=50,"31-50","51+"))</f>
        <v>18-30</v>
      </c>
      <c r="AK514" t="str">
        <f>IF(Table1[[#This Row],[WorkLifeBalance]]=1,"Poor",IF(Table1[[#This Row],[WorkLifeBalance]]=2,"Fair",IF(Table1[[#This Row],[WorkLifeBalance]]=3,"Good","Excellent")))</f>
        <v>Good</v>
      </c>
    </row>
    <row r="515" spans="1:37" x14ac:dyDescent="0.3">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c r="AJ515" t="str">
        <f>IF(Table1[[#This Row],[Column1]]&lt;=30,"18-30",IF(Table1[[#This Row],[Column1]]&lt;=50,"31-50","51+"))</f>
        <v>18-30</v>
      </c>
      <c r="AK515" t="str">
        <f>IF(Table1[[#This Row],[WorkLifeBalance]]=1,"Poor",IF(Table1[[#This Row],[WorkLifeBalance]]=2,"Fair",IF(Table1[[#This Row],[WorkLifeBalance]]=3,"Good","Excellent")))</f>
        <v>Good</v>
      </c>
    </row>
    <row r="516" spans="1:37" x14ac:dyDescent="0.3">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c r="AJ516" t="str">
        <f>IF(Table1[[#This Row],[Column1]]&lt;=30,"18-30",IF(Table1[[#This Row],[Column1]]&lt;=50,"31-50","51+"))</f>
        <v>31-50</v>
      </c>
      <c r="AK516" t="str">
        <f>IF(Table1[[#This Row],[WorkLifeBalance]]=1,"Poor",IF(Table1[[#This Row],[WorkLifeBalance]]=2,"Fair",IF(Table1[[#This Row],[WorkLifeBalance]]=3,"Good","Excellent")))</f>
        <v>Good</v>
      </c>
    </row>
    <row r="517" spans="1:37" x14ac:dyDescent="0.3">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c r="AJ517" t="str">
        <f>IF(Table1[[#This Row],[Column1]]&lt;=30,"18-30",IF(Table1[[#This Row],[Column1]]&lt;=50,"31-50","51+"))</f>
        <v>31-50</v>
      </c>
      <c r="AK517" t="str">
        <f>IF(Table1[[#This Row],[WorkLifeBalance]]=1,"Poor",IF(Table1[[#This Row],[WorkLifeBalance]]=2,"Fair",IF(Table1[[#This Row],[WorkLifeBalance]]=3,"Good","Excellent")))</f>
        <v>Good</v>
      </c>
    </row>
    <row r="518" spans="1:37" x14ac:dyDescent="0.3">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c r="AJ518" t="str">
        <f>IF(Table1[[#This Row],[Column1]]&lt;=30,"18-30",IF(Table1[[#This Row],[Column1]]&lt;=50,"31-50","51+"))</f>
        <v>18-30</v>
      </c>
      <c r="AK518" t="str">
        <f>IF(Table1[[#This Row],[WorkLifeBalance]]=1,"Poor",IF(Table1[[#This Row],[WorkLifeBalance]]=2,"Fair",IF(Table1[[#This Row],[WorkLifeBalance]]=3,"Good","Excellent")))</f>
        <v>Excellent</v>
      </c>
    </row>
    <row r="519" spans="1:37" x14ac:dyDescent="0.3">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c r="AJ519" t="str">
        <f>IF(Table1[[#This Row],[Column1]]&lt;=30,"18-30",IF(Table1[[#This Row],[Column1]]&lt;=50,"31-50","51+"))</f>
        <v>18-30</v>
      </c>
      <c r="AK519" t="str">
        <f>IF(Table1[[#This Row],[WorkLifeBalance]]=1,"Poor",IF(Table1[[#This Row],[WorkLifeBalance]]=2,"Fair",IF(Table1[[#This Row],[WorkLifeBalance]]=3,"Good","Excellent")))</f>
        <v>Good</v>
      </c>
    </row>
    <row r="520" spans="1:37" x14ac:dyDescent="0.3">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c r="AJ520" t="str">
        <f>IF(Table1[[#This Row],[Column1]]&lt;=30,"18-30",IF(Table1[[#This Row],[Column1]]&lt;=50,"31-50","51+"))</f>
        <v>31-50</v>
      </c>
      <c r="AK520" t="str">
        <f>IF(Table1[[#This Row],[WorkLifeBalance]]=1,"Poor",IF(Table1[[#This Row],[WorkLifeBalance]]=2,"Fair",IF(Table1[[#This Row],[WorkLifeBalance]]=3,"Good","Excellent")))</f>
        <v>Good</v>
      </c>
    </row>
    <row r="521" spans="1:37" x14ac:dyDescent="0.3">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c r="AJ521" t="str">
        <f>IF(Table1[[#This Row],[Column1]]&lt;=30,"18-30",IF(Table1[[#This Row],[Column1]]&lt;=50,"31-50","51+"))</f>
        <v>18-30</v>
      </c>
      <c r="AK521" t="str">
        <f>IF(Table1[[#This Row],[WorkLifeBalance]]=1,"Poor",IF(Table1[[#This Row],[WorkLifeBalance]]=2,"Fair",IF(Table1[[#This Row],[WorkLifeBalance]]=3,"Good","Excellent")))</f>
        <v>Good</v>
      </c>
    </row>
    <row r="522" spans="1:37" x14ac:dyDescent="0.3">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c r="AJ522" t="str">
        <f>IF(Table1[[#This Row],[Column1]]&lt;=30,"18-30",IF(Table1[[#This Row],[Column1]]&lt;=50,"31-50","51+"))</f>
        <v>31-50</v>
      </c>
      <c r="AK522" t="str">
        <f>IF(Table1[[#This Row],[WorkLifeBalance]]=1,"Poor",IF(Table1[[#This Row],[WorkLifeBalance]]=2,"Fair",IF(Table1[[#This Row],[WorkLifeBalance]]=3,"Good","Excellent")))</f>
        <v>Good</v>
      </c>
    </row>
    <row r="523" spans="1:37" x14ac:dyDescent="0.3">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c r="AJ523" t="str">
        <f>IF(Table1[[#This Row],[Column1]]&lt;=30,"18-30",IF(Table1[[#This Row],[Column1]]&lt;=50,"31-50","51+"))</f>
        <v>18-30</v>
      </c>
      <c r="AK523" t="str">
        <f>IF(Table1[[#This Row],[WorkLifeBalance]]=1,"Poor",IF(Table1[[#This Row],[WorkLifeBalance]]=2,"Fair",IF(Table1[[#This Row],[WorkLifeBalance]]=3,"Good","Excellent")))</f>
        <v>Good</v>
      </c>
    </row>
    <row r="524" spans="1:37" x14ac:dyDescent="0.3">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c r="AJ524" t="str">
        <f>IF(Table1[[#This Row],[Column1]]&lt;=30,"18-30",IF(Table1[[#This Row],[Column1]]&lt;=50,"31-50","51+"))</f>
        <v>31-50</v>
      </c>
      <c r="AK524" t="str">
        <f>IF(Table1[[#This Row],[WorkLifeBalance]]=1,"Poor",IF(Table1[[#This Row],[WorkLifeBalance]]=2,"Fair",IF(Table1[[#This Row],[WorkLifeBalance]]=3,"Good","Excellent")))</f>
        <v>Good</v>
      </c>
    </row>
    <row r="525" spans="1:37" x14ac:dyDescent="0.3">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c r="AJ525" t="str">
        <f>IF(Table1[[#This Row],[Column1]]&lt;=30,"18-30",IF(Table1[[#This Row],[Column1]]&lt;=50,"31-50","51+"))</f>
        <v>31-50</v>
      </c>
      <c r="AK525" t="str">
        <f>IF(Table1[[#This Row],[WorkLifeBalance]]=1,"Poor",IF(Table1[[#This Row],[WorkLifeBalance]]=2,"Fair",IF(Table1[[#This Row],[WorkLifeBalance]]=3,"Good","Excellent")))</f>
        <v>Good</v>
      </c>
    </row>
    <row r="526" spans="1:37" x14ac:dyDescent="0.3">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c r="AJ526" t="str">
        <f>IF(Table1[[#This Row],[Column1]]&lt;=30,"18-30",IF(Table1[[#This Row],[Column1]]&lt;=50,"31-50","51+"))</f>
        <v>31-50</v>
      </c>
      <c r="AK526" t="str">
        <f>IF(Table1[[#This Row],[WorkLifeBalance]]=1,"Poor",IF(Table1[[#This Row],[WorkLifeBalance]]=2,"Fair",IF(Table1[[#This Row],[WorkLifeBalance]]=3,"Good","Excellent")))</f>
        <v>Excellent</v>
      </c>
    </row>
    <row r="527" spans="1:37" x14ac:dyDescent="0.3">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c r="AJ527" t="str">
        <f>IF(Table1[[#This Row],[Column1]]&lt;=30,"18-30",IF(Table1[[#This Row],[Column1]]&lt;=50,"31-50","51+"))</f>
        <v>18-30</v>
      </c>
      <c r="AK527" t="str">
        <f>IF(Table1[[#This Row],[WorkLifeBalance]]=1,"Poor",IF(Table1[[#This Row],[WorkLifeBalance]]=2,"Fair",IF(Table1[[#This Row],[WorkLifeBalance]]=3,"Good","Excellent")))</f>
        <v>Good</v>
      </c>
    </row>
    <row r="528" spans="1:37" x14ac:dyDescent="0.3">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c r="AJ528" t="str">
        <f>IF(Table1[[#This Row],[Column1]]&lt;=30,"18-30",IF(Table1[[#This Row],[Column1]]&lt;=50,"31-50","51+"))</f>
        <v>31-50</v>
      </c>
      <c r="AK528" t="str">
        <f>IF(Table1[[#This Row],[WorkLifeBalance]]=1,"Poor",IF(Table1[[#This Row],[WorkLifeBalance]]=2,"Fair",IF(Table1[[#This Row],[WorkLifeBalance]]=3,"Good","Excellent")))</f>
        <v>Good</v>
      </c>
    </row>
    <row r="529" spans="1:37" x14ac:dyDescent="0.3">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c r="AJ529" t="str">
        <f>IF(Table1[[#This Row],[Column1]]&lt;=30,"18-30",IF(Table1[[#This Row],[Column1]]&lt;=50,"31-50","51+"))</f>
        <v>31-50</v>
      </c>
      <c r="AK529" t="str">
        <f>IF(Table1[[#This Row],[WorkLifeBalance]]=1,"Poor",IF(Table1[[#This Row],[WorkLifeBalance]]=2,"Fair",IF(Table1[[#This Row],[WorkLifeBalance]]=3,"Good","Excellent")))</f>
        <v>Fair</v>
      </c>
    </row>
    <row r="530" spans="1:37" x14ac:dyDescent="0.3">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c r="AJ530" t="str">
        <f>IF(Table1[[#This Row],[Column1]]&lt;=30,"18-30",IF(Table1[[#This Row],[Column1]]&lt;=50,"31-50","51+"))</f>
        <v>31-50</v>
      </c>
      <c r="AK530" t="str">
        <f>IF(Table1[[#This Row],[WorkLifeBalance]]=1,"Poor",IF(Table1[[#This Row],[WorkLifeBalance]]=2,"Fair",IF(Table1[[#This Row],[WorkLifeBalance]]=3,"Good","Excellent")))</f>
        <v>Good</v>
      </c>
    </row>
    <row r="531" spans="1:37" x14ac:dyDescent="0.3">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c r="AJ531" t="str">
        <f>IF(Table1[[#This Row],[Column1]]&lt;=30,"18-30",IF(Table1[[#This Row],[Column1]]&lt;=50,"31-50","51+"))</f>
        <v>31-50</v>
      </c>
      <c r="AK531" t="str">
        <f>IF(Table1[[#This Row],[WorkLifeBalance]]=1,"Poor",IF(Table1[[#This Row],[WorkLifeBalance]]=2,"Fair",IF(Table1[[#This Row],[WorkLifeBalance]]=3,"Good","Excellent")))</f>
        <v>Fair</v>
      </c>
    </row>
    <row r="532" spans="1:37" x14ac:dyDescent="0.3">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c r="AJ532" t="str">
        <f>IF(Table1[[#This Row],[Column1]]&lt;=30,"18-30",IF(Table1[[#This Row],[Column1]]&lt;=50,"31-50","51+"))</f>
        <v>18-30</v>
      </c>
      <c r="AK532" t="str">
        <f>IF(Table1[[#This Row],[WorkLifeBalance]]=1,"Poor",IF(Table1[[#This Row],[WorkLifeBalance]]=2,"Fair",IF(Table1[[#This Row],[WorkLifeBalance]]=3,"Good","Excellent")))</f>
        <v>Good</v>
      </c>
    </row>
    <row r="533" spans="1:37" x14ac:dyDescent="0.3">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c r="AJ533" t="str">
        <f>IF(Table1[[#This Row],[Column1]]&lt;=30,"18-30",IF(Table1[[#This Row],[Column1]]&lt;=50,"31-50","51+"))</f>
        <v>31-50</v>
      </c>
      <c r="AK533" t="str">
        <f>IF(Table1[[#This Row],[WorkLifeBalance]]=1,"Poor",IF(Table1[[#This Row],[WorkLifeBalance]]=2,"Fair",IF(Table1[[#This Row],[WorkLifeBalance]]=3,"Good","Excellent")))</f>
        <v>Good</v>
      </c>
    </row>
    <row r="534" spans="1:37" x14ac:dyDescent="0.3">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c r="AJ534" t="str">
        <f>IF(Table1[[#This Row],[Column1]]&lt;=30,"18-30",IF(Table1[[#This Row],[Column1]]&lt;=50,"31-50","51+"))</f>
        <v>31-50</v>
      </c>
      <c r="AK534" t="str">
        <f>IF(Table1[[#This Row],[WorkLifeBalance]]=1,"Poor",IF(Table1[[#This Row],[WorkLifeBalance]]=2,"Fair",IF(Table1[[#This Row],[WorkLifeBalance]]=3,"Good","Excellent")))</f>
        <v>Good</v>
      </c>
    </row>
    <row r="535" spans="1:37" x14ac:dyDescent="0.3">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c r="AJ535" t="str">
        <f>IF(Table1[[#This Row],[Column1]]&lt;=30,"18-30",IF(Table1[[#This Row],[Column1]]&lt;=50,"31-50","51+"))</f>
        <v>31-50</v>
      </c>
      <c r="AK535" t="str">
        <f>IF(Table1[[#This Row],[WorkLifeBalance]]=1,"Poor",IF(Table1[[#This Row],[WorkLifeBalance]]=2,"Fair",IF(Table1[[#This Row],[WorkLifeBalance]]=3,"Good","Excellent")))</f>
        <v>Good</v>
      </c>
    </row>
    <row r="536" spans="1:37" x14ac:dyDescent="0.3">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c r="AJ536" t="str">
        <f>IF(Table1[[#This Row],[Column1]]&lt;=30,"18-30",IF(Table1[[#This Row],[Column1]]&lt;=50,"31-50","51+"))</f>
        <v>51+</v>
      </c>
      <c r="AK536" t="str">
        <f>IF(Table1[[#This Row],[WorkLifeBalance]]=1,"Poor",IF(Table1[[#This Row],[WorkLifeBalance]]=2,"Fair",IF(Table1[[#This Row],[WorkLifeBalance]]=3,"Good","Excellent")))</f>
        <v>Good</v>
      </c>
    </row>
    <row r="537" spans="1:37" x14ac:dyDescent="0.3">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c r="AJ537" t="str">
        <f>IF(Table1[[#This Row],[Column1]]&lt;=30,"18-30",IF(Table1[[#This Row],[Column1]]&lt;=50,"31-50","51+"))</f>
        <v>31-50</v>
      </c>
      <c r="AK537" t="str">
        <f>IF(Table1[[#This Row],[WorkLifeBalance]]=1,"Poor",IF(Table1[[#This Row],[WorkLifeBalance]]=2,"Fair",IF(Table1[[#This Row],[WorkLifeBalance]]=3,"Good","Excellent")))</f>
        <v>Fair</v>
      </c>
    </row>
    <row r="538" spans="1:37" x14ac:dyDescent="0.3">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c r="AJ538" t="str">
        <f>IF(Table1[[#This Row],[Column1]]&lt;=30,"18-30",IF(Table1[[#This Row],[Column1]]&lt;=50,"31-50","51+"))</f>
        <v>51+</v>
      </c>
      <c r="AK538" t="str">
        <f>IF(Table1[[#This Row],[WorkLifeBalance]]=1,"Poor",IF(Table1[[#This Row],[WorkLifeBalance]]=2,"Fair",IF(Table1[[#This Row],[WorkLifeBalance]]=3,"Good","Excellent")))</f>
        <v>Good</v>
      </c>
    </row>
    <row r="539" spans="1:37" x14ac:dyDescent="0.3">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c r="AJ539" t="str">
        <f>IF(Table1[[#This Row],[Column1]]&lt;=30,"18-30",IF(Table1[[#This Row],[Column1]]&lt;=50,"31-50","51+"))</f>
        <v>18-30</v>
      </c>
      <c r="AK539" t="str">
        <f>IF(Table1[[#This Row],[WorkLifeBalance]]=1,"Poor",IF(Table1[[#This Row],[WorkLifeBalance]]=2,"Fair",IF(Table1[[#This Row],[WorkLifeBalance]]=3,"Good","Excellent")))</f>
        <v>Fair</v>
      </c>
    </row>
    <row r="540" spans="1:37" x14ac:dyDescent="0.3">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c r="AJ540" t="str">
        <f>IF(Table1[[#This Row],[Column1]]&lt;=30,"18-30",IF(Table1[[#This Row],[Column1]]&lt;=50,"31-50","51+"))</f>
        <v>31-50</v>
      </c>
      <c r="AK540" t="str">
        <f>IF(Table1[[#This Row],[WorkLifeBalance]]=1,"Poor",IF(Table1[[#This Row],[WorkLifeBalance]]=2,"Fair",IF(Table1[[#This Row],[WorkLifeBalance]]=3,"Good","Excellent")))</f>
        <v>Good</v>
      </c>
    </row>
    <row r="541" spans="1:37" x14ac:dyDescent="0.3">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c r="AJ541" t="str">
        <f>IF(Table1[[#This Row],[Column1]]&lt;=30,"18-30",IF(Table1[[#This Row],[Column1]]&lt;=50,"31-50","51+"))</f>
        <v>31-50</v>
      </c>
      <c r="AK541" t="str">
        <f>IF(Table1[[#This Row],[WorkLifeBalance]]=1,"Poor",IF(Table1[[#This Row],[WorkLifeBalance]]=2,"Fair",IF(Table1[[#This Row],[WorkLifeBalance]]=3,"Good","Excellent")))</f>
        <v>Good</v>
      </c>
    </row>
    <row r="542" spans="1:37" x14ac:dyDescent="0.3">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c r="AJ542" t="str">
        <f>IF(Table1[[#This Row],[Column1]]&lt;=30,"18-30",IF(Table1[[#This Row],[Column1]]&lt;=50,"31-50","51+"))</f>
        <v>18-30</v>
      </c>
      <c r="AK542" t="str">
        <f>IF(Table1[[#This Row],[WorkLifeBalance]]=1,"Poor",IF(Table1[[#This Row],[WorkLifeBalance]]=2,"Fair",IF(Table1[[#This Row],[WorkLifeBalance]]=3,"Good","Excellent")))</f>
        <v>Good</v>
      </c>
    </row>
    <row r="543" spans="1:37" x14ac:dyDescent="0.3">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c r="AJ543" t="str">
        <f>IF(Table1[[#This Row],[Column1]]&lt;=30,"18-30",IF(Table1[[#This Row],[Column1]]&lt;=50,"31-50","51+"))</f>
        <v>31-50</v>
      </c>
      <c r="AK543" t="str">
        <f>IF(Table1[[#This Row],[WorkLifeBalance]]=1,"Poor",IF(Table1[[#This Row],[WorkLifeBalance]]=2,"Fair",IF(Table1[[#This Row],[WorkLifeBalance]]=3,"Good","Excellent")))</f>
        <v>Good</v>
      </c>
    </row>
    <row r="544" spans="1:37" x14ac:dyDescent="0.3">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c r="AJ544" t="str">
        <f>IF(Table1[[#This Row],[Column1]]&lt;=30,"18-30",IF(Table1[[#This Row],[Column1]]&lt;=50,"31-50","51+"))</f>
        <v>31-50</v>
      </c>
      <c r="AK544" t="str">
        <f>IF(Table1[[#This Row],[WorkLifeBalance]]=1,"Poor",IF(Table1[[#This Row],[WorkLifeBalance]]=2,"Fair",IF(Table1[[#This Row],[WorkLifeBalance]]=3,"Good","Excellent")))</f>
        <v>Excellent</v>
      </c>
    </row>
    <row r="545" spans="1:37" x14ac:dyDescent="0.3">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c r="AJ545" t="str">
        <f>IF(Table1[[#This Row],[Column1]]&lt;=30,"18-30",IF(Table1[[#This Row],[Column1]]&lt;=50,"31-50","51+"))</f>
        <v>31-50</v>
      </c>
      <c r="AK545" t="str">
        <f>IF(Table1[[#This Row],[WorkLifeBalance]]=1,"Poor",IF(Table1[[#This Row],[WorkLifeBalance]]=2,"Fair",IF(Table1[[#This Row],[WorkLifeBalance]]=3,"Good","Excellent")))</f>
        <v>Good</v>
      </c>
    </row>
    <row r="546" spans="1:37" x14ac:dyDescent="0.3">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c r="AJ546" t="str">
        <f>IF(Table1[[#This Row],[Column1]]&lt;=30,"18-30",IF(Table1[[#This Row],[Column1]]&lt;=50,"31-50","51+"))</f>
        <v>31-50</v>
      </c>
      <c r="AK546" t="str">
        <f>IF(Table1[[#This Row],[WorkLifeBalance]]=1,"Poor",IF(Table1[[#This Row],[WorkLifeBalance]]=2,"Fair",IF(Table1[[#This Row],[WorkLifeBalance]]=3,"Good","Excellent")))</f>
        <v>Fair</v>
      </c>
    </row>
    <row r="547" spans="1:37" x14ac:dyDescent="0.3">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c r="AJ547" t="str">
        <f>IF(Table1[[#This Row],[Column1]]&lt;=30,"18-30",IF(Table1[[#This Row],[Column1]]&lt;=50,"31-50","51+"))</f>
        <v>18-30</v>
      </c>
      <c r="AK547" t="str">
        <f>IF(Table1[[#This Row],[WorkLifeBalance]]=1,"Poor",IF(Table1[[#This Row],[WorkLifeBalance]]=2,"Fair",IF(Table1[[#This Row],[WorkLifeBalance]]=3,"Good","Excellent")))</f>
        <v>Fair</v>
      </c>
    </row>
    <row r="548" spans="1:37" x14ac:dyDescent="0.3">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c r="AJ548" t="str">
        <f>IF(Table1[[#This Row],[Column1]]&lt;=30,"18-30",IF(Table1[[#This Row],[Column1]]&lt;=50,"31-50","51+"))</f>
        <v>18-30</v>
      </c>
      <c r="AK548" t="str">
        <f>IF(Table1[[#This Row],[WorkLifeBalance]]=1,"Poor",IF(Table1[[#This Row],[WorkLifeBalance]]=2,"Fair",IF(Table1[[#This Row],[WorkLifeBalance]]=3,"Good","Excellent")))</f>
        <v>Good</v>
      </c>
    </row>
    <row r="549" spans="1:37" x14ac:dyDescent="0.3">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c r="AJ549" t="str">
        <f>IF(Table1[[#This Row],[Column1]]&lt;=30,"18-30",IF(Table1[[#This Row],[Column1]]&lt;=50,"31-50","51+"))</f>
        <v>31-50</v>
      </c>
      <c r="AK549" t="str">
        <f>IF(Table1[[#This Row],[WorkLifeBalance]]=1,"Poor",IF(Table1[[#This Row],[WorkLifeBalance]]=2,"Fair",IF(Table1[[#This Row],[WorkLifeBalance]]=3,"Good","Excellent")))</f>
        <v>Good</v>
      </c>
    </row>
    <row r="550" spans="1:37" x14ac:dyDescent="0.3">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c r="AJ550" t="str">
        <f>IF(Table1[[#This Row],[Column1]]&lt;=30,"18-30",IF(Table1[[#This Row],[Column1]]&lt;=50,"31-50","51+"))</f>
        <v>31-50</v>
      </c>
      <c r="AK550" t="str">
        <f>IF(Table1[[#This Row],[WorkLifeBalance]]=1,"Poor",IF(Table1[[#This Row],[WorkLifeBalance]]=2,"Fair",IF(Table1[[#This Row],[WorkLifeBalance]]=3,"Good","Excellent")))</f>
        <v>Good</v>
      </c>
    </row>
    <row r="551" spans="1:37" x14ac:dyDescent="0.3">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c r="AJ551" t="str">
        <f>IF(Table1[[#This Row],[Column1]]&lt;=30,"18-30",IF(Table1[[#This Row],[Column1]]&lt;=50,"31-50","51+"))</f>
        <v>31-50</v>
      </c>
      <c r="AK551" t="str">
        <f>IF(Table1[[#This Row],[WorkLifeBalance]]=1,"Poor",IF(Table1[[#This Row],[WorkLifeBalance]]=2,"Fair",IF(Table1[[#This Row],[WorkLifeBalance]]=3,"Good","Excellent")))</f>
        <v>Good</v>
      </c>
    </row>
    <row r="552" spans="1:37" x14ac:dyDescent="0.3">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c r="AJ552" t="str">
        <f>IF(Table1[[#This Row],[Column1]]&lt;=30,"18-30",IF(Table1[[#This Row],[Column1]]&lt;=50,"31-50","51+"))</f>
        <v>18-30</v>
      </c>
      <c r="AK552" t="str">
        <f>IF(Table1[[#This Row],[WorkLifeBalance]]=1,"Poor",IF(Table1[[#This Row],[WorkLifeBalance]]=2,"Fair",IF(Table1[[#This Row],[WorkLifeBalance]]=3,"Good","Excellent")))</f>
        <v>Excellent</v>
      </c>
    </row>
    <row r="553" spans="1:37" x14ac:dyDescent="0.3">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c r="AJ553" t="str">
        <f>IF(Table1[[#This Row],[Column1]]&lt;=30,"18-30",IF(Table1[[#This Row],[Column1]]&lt;=50,"31-50","51+"))</f>
        <v>31-50</v>
      </c>
      <c r="AK553" t="str">
        <f>IF(Table1[[#This Row],[WorkLifeBalance]]=1,"Poor",IF(Table1[[#This Row],[WorkLifeBalance]]=2,"Fair",IF(Table1[[#This Row],[WorkLifeBalance]]=3,"Good","Excellent")))</f>
        <v>Poor</v>
      </c>
    </row>
    <row r="554" spans="1:37" x14ac:dyDescent="0.3">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c r="AJ554" t="str">
        <f>IF(Table1[[#This Row],[Column1]]&lt;=30,"18-30",IF(Table1[[#This Row],[Column1]]&lt;=50,"31-50","51+"))</f>
        <v>51+</v>
      </c>
      <c r="AK554" t="str">
        <f>IF(Table1[[#This Row],[WorkLifeBalance]]=1,"Poor",IF(Table1[[#This Row],[WorkLifeBalance]]=2,"Fair",IF(Table1[[#This Row],[WorkLifeBalance]]=3,"Good","Excellent")))</f>
        <v>Fair</v>
      </c>
    </row>
    <row r="555" spans="1:37" x14ac:dyDescent="0.3">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c r="AJ555" t="str">
        <f>IF(Table1[[#This Row],[Column1]]&lt;=30,"18-30",IF(Table1[[#This Row],[Column1]]&lt;=50,"31-50","51+"))</f>
        <v>31-50</v>
      </c>
      <c r="AK555" t="str">
        <f>IF(Table1[[#This Row],[WorkLifeBalance]]=1,"Poor",IF(Table1[[#This Row],[WorkLifeBalance]]=2,"Fair",IF(Table1[[#This Row],[WorkLifeBalance]]=3,"Good","Excellent")))</f>
        <v>Fair</v>
      </c>
    </row>
    <row r="556" spans="1:37" x14ac:dyDescent="0.3">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c r="AJ556" t="str">
        <f>IF(Table1[[#This Row],[Column1]]&lt;=30,"18-30",IF(Table1[[#This Row],[Column1]]&lt;=50,"31-50","51+"))</f>
        <v>18-30</v>
      </c>
      <c r="AK556" t="str">
        <f>IF(Table1[[#This Row],[WorkLifeBalance]]=1,"Poor",IF(Table1[[#This Row],[WorkLifeBalance]]=2,"Fair",IF(Table1[[#This Row],[WorkLifeBalance]]=3,"Good","Excellent")))</f>
        <v>Poor</v>
      </c>
    </row>
    <row r="557" spans="1:37" x14ac:dyDescent="0.3">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c r="AJ557" t="str">
        <f>IF(Table1[[#This Row],[Column1]]&lt;=30,"18-30",IF(Table1[[#This Row],[Column1]]&lt;=50,"31-50","51+"))</f>
        <v>18-30</v>
      </c>
      <c r="AK557" t="str">
        <f>IF(Table1[[#This Row],[WorkLifeBalance]]=1,"Poor",IF(Table1[[#This Row],[WorkLifeBalance]]=2,"Fair",IF(Table1[[#This Row],[WorkLifeBalance]]=3,"Good","Excellent")))</f>
        <v>Good</v>
      </c>
    </row>
    <row r="558" spans="1:37" x14ac:dyDescent="0.3">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c r="AJ558" t="str">
        <f>IF(Table1[[#This Row],[Column1]]&lt;=30,"18-30",IF(Table1[[#This Row],[Column1]]&lt;=50,"31-50","51+"))</f>
        <v>51+</v>
      </c>
      <c r="AK558" t="str">
        <f>IF(Table1[[#This Row],[WorkLifeBalance]]=1,"Poor",IF(Table1[[#This Row],[WorkLifeBalance]]=2,"Fair",IF(Table1[[#This Row],[WorkLifeBalance]]=3,"Good","Excellent")))</f>
        <v>Good</v>
      </c>
    </row>
    <row r="559" spans="1:37" x14ac:dyDescent="0.3">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c r="AJ559" t="str">
        <f>IF(Table1[[#This Row],[Column1]]&lt;=30,"18-30",IF(Table1[[#This Row],[Column1]]&lt;=50,"31-50","51+"))</f>
        <v>31-50</v>
      </c>
      <c r="AK559" t="str">
        <f>IF(Table1[[#This Row],[WorkLifeBalance]]=1,"Poor",IF(Table1[[#This Row],[WorkLifeBalance]]=2,"Fair",IF(Table1[[#This Row],[WorkLifeBalance]]=3,"Good","Excellent")))</f>
        <v>Excellent</v>
      </c>
    </row>
    <row r="560" spans="1:37" x14ac:dyDescent="0.3">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c r="AJ560" t="str">
        <f>IF(Table1[[#This Row],[Column1]]&lt;=30,"18-30",IF(Table1[[#This Row],[Column1]]&lt;=50,"31-50","51+"))</f>
        <v>31-50</v>
      </c>
      <c r="AK560" t="str">
        <f>IF(Table1[[#This Row],[WorkLifeBalance]]=1,"Poor",IF(Table1[[#This Row],[WorkLifeBalance]]=2,"Fair",IF(Table1[[#This Row],[WorkLifeBalance]]=3,"Good","Excellent")))</f>
        <v>Good</v>
      </c>
    </row>
    <row r="561" spans="1:37" x14ac:dyDescent="0.3">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c r="AJ561" t="str">
        <f>IF(Table1[[#This Row],[Column1]]&lt;=30,"18-30",IF(Table1[[#This Row],[Column1]]&lt;=50,"31-50","51+"))</f>
        <v>31-50</v>
      </c>
      <c r="AK561" t="str">
        <f>IF(Table1[[#This Row],[WorkLifeBalance]]=1,"Poor",IF(Table1[[#This Row],[WorkLifeBalance]]=2,"Fair",IF(Table1[[#This Row],[WorkLifeBalance]]=3,"Good","Excellent")))</f>
        <v>Poor</v>
      </c>
    </row>
    <row r="562" spans="1:37" x14ac:dyDescent="0.3">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c r="AJ562" t="str">
        <f>IF(Table1[[#This Row],[Column1]]&lt;=30,"18-30",IF(Table1[[#This Row],[Column1]]&lt;=50,"31-50","51+"))</f>
        <v>31-50</v>
      </c>
      <c r="AK562" t="str">
        <f>IF(Table1[[#This Row],[WorkLifeBalance]]=1,"Poor",IF(Table1[[#This Row],[WorkLifeBalance]]=2,"Fair",IF(Table1[[#This Row],[WorkLifeBalance]]=3,"Good","Excellent")))</f>
        <v>Good</v>
      </c>
    </row>
    <row r="563" spans="1:37" x14ac:dyDescent="0.3">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c r="AJ563" t="str">
        <f>IF(Table1[[#This Row],[Column1]]&lt;=30,"18-30",IF(Table1[[#This Row],[Column1]]&lt;=50,"31-50","51+"))</f>
        <v>51+</v>
      </c>
      <c r="AK563" t="str">
        <f>IF(Table1[[#This Row],[WorkLifeBalance]]=1,"Poor",IF(Table1[[#This Row],[WorkLifeBalance]]=2,"Fair",IF(Table1[[#This Row],[WorkLifeBalance]]=3,"Good","Excellent")))</f>
        <v>Excellent</v>
      </c>
    </row>
    <row r="564" spans="1:37" x14ac:dyDescent="0.3">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c r="AJ564" t="str">
        <f>IF(Table1[[#This Row],[Column1]]&lt;=30,"18-30",IF(Table1[[#This Row],[Column1]]&lt;=50,"31-50","51+"))</f>
        <v>31-50</v>
      </c>
      <c r="AK564" t="str">
        <f>IF(Table1[[#This Row],[WorkLifeBalance]]=1,"Poor",IF(Table1[[#This Row],[WorkLifeBalance]]=2,"Fair",IF(Table1[[#This Row],[WorkLifeBalance]]=3,"Good","Excellent")))</f>
        <v>Fair</v>
      </c>
    </row>
    <row r="565" spans="1:37" x14ac:dyDescent="0.3">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c r="AJ565" t="str">
        <f>IF(Table1[[#This Row],[Column1]]&lt;=30,"18-30",IF(Table1[[#This Row],[Column1]]&lt;=50,"31-50","51+"))</f>
        <v>18-30</v>
      </c>
      <c r="AK565" t="str">
        <f>IF(Table1[[#This Row],[WorkLifeBalance]]=1,"Poor",IF(Table1[[#This Row],[WorkLifeBalance]]=2,"Fair",IF(Table1[[#This Row],[WorkLifeBalance]]=3,"Good","Excellent")))</f>
        <v>Fair</v>
      </c>
    </row>
    <row r="566" spans="1:37" x14ac:dyDescent="0.3">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c r="AJ566" t="str">
        <f>IF(Table1[[#This Row],[Column1]]&lt;=30,"18-30",IF(Table1[[#This Row],[Column1]]&lt;=50,"31-50","51+"))</f>
        <v>31-50</v>
      </c>
      <c r="AK566" t="str">
        <f>IF(Table1[[#This Row],[WorkLifeBalance]]=1,"Poor",IF(Table1[[#This Row],[WorkLifeBalance]]=2,"Fair",IF(Table1[[#This Row],[WorkLifeBalance]]=3,"Good","Excellent")))</f>
        <v>Good</v>
      </c>
    </row>
    <row r="567" spans="1:37" x14ac:dyDescent="0.3">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c r="AJ567" t="str">
        <f>IF(Table1[[#This Row],[Column1]]&lt;=30,"18-30",IF(Table1[[#This Row],[Column1]]&lt;=50,"31-50","51+"))</f>
        <v>18-30</v>
      </c>
      <c r="AK567" t="str">
        <f>IF(Table1[[#This Row],[WorkLifeBalance]]=1,"Poor",IF(Table1[[#This Row],[WorkLifeBalance]]=2,"Fair",IF(Table1[[#This Row],[WorkLifeBalance]]=3,"Good","Excellent")))</f>
        <v>Good</v>
      </c>
    </row>
    <row r="568" spans="1:37" x14ac:dyDescent="0.3">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c r="AJ568" t="str">
        <f>IF(Table1[[#This Row],[Column1]]&lt;=30,"18-30",IF(Table1[[#This Row],[Column1]]&lt;=50,"31-50","51+"))</f>
        <v>31-50</v>
      </c>
      <c r="AK568" t="str">
        <f>IF(Table1[[#This Row],[WorkLifeBalance]]=1,"Poor",IF(Table1[[#This Row],[WorkLifeBalance]]=2,"Fair",IF(Table1[[#This Row],[WorkLifeBalance]]=3,"Good","Excellent")))</f>
        <v>Good</v>
      </c>
    </row>
    <row r="569" spans="1:37" x14ac:dyDescent="0.3">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c r="AJ569" t="str">
        <f>IF(Table1[[#This Row],[Column1]]&lt;=30,"18-30",IF(Table1[[#This Row],[Column1]]&lt;=50,"31-50","51+"))</f>
        <v>31-50</v>
      </c>
      <c r="AK569" t="str">
        <f>IF(Table1[[#This Row],[WorkLifeBalance]]=1,"Poor",IF(Table1[[#This Row],[WorkLifeBalance]]=2,"Fair",IF(Table1[[#This Row],[WorkLifeBalance]]=3,"Good","Excellent")))</f>
        <v>Good</v>
      </c>
    </row>
    <row r="570" spans="1:37" x14ac:dyDescent="0.3">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c r="AJ570" t="str">
        <f>IF(Table1[[#This Row],[Column1]]&lt;=30,"18-30",IF(Table1[[#This Row],[Column1]]&lt;=50,"31-50","51+"))</f>
        <v>51+</v>
      </c>
      <c r="AK570" t="str">
        <f>IF(Table1[[#This Row],[WorkLifeBalance]]=1,"Poor",IF(Table1[[#This Row],[WorkLifeBalance]]=2,"Fair",IF(Table1[[#This Row],[WorkLifeBalance]]=3,"Good","Excellent")))</f>
        <v>Good</v>
      </c>
    </row>
    <row r="571" spans="1:37" x14ac:dyDescent="0.3">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c r="AJ571" t="str">
        <f>IF(Table1[[#This Row],[Column1]]&lt;=30,"18-30",IF(Table1[[#This Row],[Column1]]&lt;=50,"31-50","51+"))</f>
        <v>31-50</v>
      </c>
      <c r="AK571" t="str">
        <f>IF(Table1[[#This Row],[WorkLifeBalance]]=1,"Poor",IF(Table1[[#This Row],[WorkLifeBalance]]=2,"Fair",IF(Table1[[#This Row],[WorkLifeBalance]]=3,"Good","Excellent")))</f>
        <v>Good</v>
      </c>
    </row>
    <row r="572" spans="1:37" x14ac:dyDescent="0.3">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c r="AJ572" t="str">
        <f>IF(Table1[[#This Row],[Column1]]&lt;=30,"18-30",IF(Table1[[#This Row],[Column1]]&lt;=50,"31-50","51+"))</f>
        <v>51+</v>
      </c>
      <c r="AK572" t="str">
        <f>IF(Table1[[#This Row],[WorkLifeBalance]]=1,"Poor",IF(Table1[[#This Row],[WorkLifeBalance]]=2,"Fair",IF(Table1[[#This Row],[WorkLifeBalance]]=3,"Good","Excellent")))</f>
        <v>Good</v>
      </c>
    </row>
    <row r="573" spans="1:37" x14ac:dyDescent="0.3">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c r="AJ573" t="str">
        <f>IF(Table1[[#This Row],[Column1]]&lt;=30,"18-30",IF(Table1[[#This Row],[Column1]]&lt;=50,"31-50","51+"))</f>
        <v>18-30</v>
      </c>
      <c r="AK573" t="str">
        <f>IF(Table1[[#This Row],[WorkLifeBalance]]=1,"Poor",IF(Table1[[#This Row],[WorkLifeBalance]]=2,"Fair",IF(Table1[[#This Row],[WorkLifeBalance]]=3,"Good","Excellent")))</f>
        <v>Good</v>
      </c>
    </row>
    <row r="574" spans="1:37" x14ac:dyDescent="0.3">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c r="AJ574" t="str">
        <f>IF(Table1[[#This Row],[Column1]]&lt;=30,"18-30",IF(Table1[[#This Row],[Column1]]&lt;=50,"31-50","51+"))</f>
        <v>18-30</v>
      </c>
      <c r="AK574" t="str">
        <f>IF(Table1[[#This Row],[WorkLifeBalance]]=1,"Poor",IF(Table1[[#This Row],[WorkLifeBalance]]=2,"Fair",IF(Table1[[#This Row],[WorkLifeBalance]]=3,"Good","Excellent")))</f>
        <v>Fair</v>
      </c>
    </row>
    <row r="575" spans="1:37" x14ac:dyDescent="0.3">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c r="AJ575" t="str">
        <f>IF(Table1[[#This Row],[Column1]]&lt;=30,"18-30",IF(Table1[[#This Row],[Column1]]&lt;=50,"31-50","51+"))</f>
        <v>18-30</v>
      </c>
      <c r="AK575" t="str">
        <f>IF(Table1[[#This Row],[WorkLifeBalance]]=1,"Poor",IF(Table1[[#This Row],[WorkLifeBalance]]=2,"Fair",IF(Table1[[#This Row],[WorkLifeBalance]]=3,"Good","Excellent")))</f>
        <v>Fair</v>
      </c>
    </row>
    <row r="576" spans="1:37" x14ac:dyDescent="0.3">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c r="AJ576" t="str">
        <f>IF(Table1[[#This Row],[Column1]]&lt;=30,"18-30",IF(Table1[[#This Row],[Column1]]&lt;=50,"31-50","51+"))</f>
        <v>31-50</v>
      </c>
      <c r="AK576" t="str">
        <f>IF(Table1[[#This Row],[WorkLifeBalance]]=1,"Poor",IF(Table1[[#This Row],[WorkLifeBalance]]=2,"Fair",IF(Table1[[#This Row],[WorkLifeBalance]]=3,"Good","Excellent")))</f>
        <v>Good</v>
      </c>
    </row>
    <row r="577" spans="1:37" x14ac:dyDescent="0.3">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c r="AJ577" t="str">
        <f>IF(Table1[[#This Row],[Column1]]&lt;=30,"18-30",IF(Table1[[#This Row],[Column1]]&lt;=50,"31-50","51+"))</f>
        <v>51+</v>
      </c>
      <c r="AK577" t="str">
        <f>IF(Table1[[#This Row],[WorkLifeBalance]]=1,"Poor",IF(Table1[[#This Row],[WorkLifeBalance]]=2,"Fair",IF(Table1[[#This Row],[WorkLifeBalance]]=3,"Good","Excellent")))</f>
        <v>Good</v>
      </c>
    </row>
    <row r="578" spans="1:37" x14ac:dyDescent="0.3">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c r="AJ578" t="str">
        <f>IF(Table1[[#This Row],[Column1]]&lt;=30,"18-30",IF(Table1[[#This Row],[Column1]]&lt;=50,"31-50","51+"))</f>
        <v>18-30</v>
      </c>
      <c r="AK578" t="str">
        <f>IF(Table1[[#This Row],[WorkLifeBalance]]=1,"Poor",IF(Table1[[#This Row],[WorkLifeBalance]]=2,"Fair",IF(Table1[[#This Row],[WorkLifeBalance]]=3,"Good","Excellent")))</f>
        <v>Good</v>
      </c>
    </row>
    <row r="579" spans="1:37" x14ac:dyDescent="0.3">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c r="AJ579" t="str">
        <f>IF(Table1[[#This Row],[Column1]]&lt;=30,"18-30",IF(Table1[[#This Row],[Column1]]&lt;=50,"31-50","51+"))</f>
        <v>31-50</v>
      </c>
      <c r="AK579" t="str">
        <f>IF(Table1[[#This Row],[WorkLifeBalance]]=1,"Poor",IF(Table1[[#This Row],[WorkLifeBalance]]=2,"Fair",IF(Table1[[#This Row],[WorkLifeBalance]]=3,"Good","Excellent")))</f>
        <v>Fair</v>
      </c>
    </row>
    <row r="580" spans="1:37" x14ac:dyDescent="0.3">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c r="AJ580" t="str">
        <f>IF(Table1[[#This Row],[Column1]]&lt;=30,"18-30",IF(Table1[[#This Row],[Column1]]&lt;=50,"31-50","51+"))</f>
        <v>31-50</v>
      </c>
      <c r="AK580" t="str">
        <f>IF(Table1[[#This Row],[WorkLifeBalance]]=1,"Poor",IF(Table1[[#This Row],[WorkLifeBalance]]=2,"Fair",IF(Table1[[#This Row],[WorkLifeBalance]]=3,"Good","Excellent")))</f>
        <v>Good</v>
      </c>
    </row>
    <row r="581" spans="1:37" x14ac:dyDescent="0.3">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c r="AJ581" t="str">
        <f>IF(Table1[[#This Row],[Column1]]&lt;=30,"18-30",IF(Table1[[#This Row],[Column1]]&lt;=50,"31-50","51+"))</f>
        <v>31-50</v>
      </c>
      <c r="AK581" t="str">
        <f>IF(Table1[[#This Row],[WorkLifeBalance]]=1,"Poor",IF(Table1[[#This Row],[WorkLifeBalance]]=2,"Fair",IF(Table1[[#This Row],[WorkLifeBalance]]=3,"Good","Excellent")))</f>
        <v>Good</v>
      </c>
    </row>
    <row r="582" spans="1:37" x14ac:dyDescent="0.3">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c r="AJ582" t="str">
        <f>IF(Table1[[#This Row],[Column1]]&lt;=30,"18-30",IF(Table1[[#This Row],[Column1]]&lt;=50,"31-50","51+"))</f>
        <v>31-50</v>
      </c>
      <c r="AK582" t="str">
        <f>IF(Table1[[#This Row],[WorkLifeBalance]]=1,"Poor",IF(Table1[[#This Row],[WorkLifeBalance]]=2,"Fair",IF(Table1[[#This Row],[WorkLifeBalance]]=3,"Good","Excellent")))</f>
        <v>Fair</v>
      </c>
    </row>
    <row r="583" spans="1:37" x14ac:dyDescent="0.3">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c r="AJ583" t="str">
        <f>IF(Table1[[#This Row],[Column1]]&lt;=30,"18-30",IF(Table1[[#This Row],[Column1]]&lt;=50,"31-50","51+"))</f>
        <v>18-30</v>
      </c>
      <c r="AK583" t="str">
        <f>IF(Table1[[#This Row],[WorkLifeBalance]]=1,"Poor",IF(Table1[[#This Row],[WorkLifeBalance]]=2,"Fair",IF(Table1[[#This Row],[WorkLifeBalance]]=3,"Good","Excellent")))</f>
        <v>Good</v>
      </c>
    </row>
    <row r="584" spans="1:37" x14ac:dyDescent="0.3">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c r="AJ584" t="str">
        <f>IF(Table1[[#This Row],[Column1]]&lt;=30,"18-30",IF(Table1[[#This Row],[Column1]]&lt;=50,"31-50","51+"))</f>
        <v>31-50</v>
      </c>
      <c r="AK584" t="str">
        <f>IF(Table1[[#This Row],[WorkLifeBalance]]=1,"Poor",IF(Table1[[#This Row],[WorkLifeBalance]]=2,"Fair",IF(Table1[[#This Row],[WorkLifeBalance]]=3,"Good","Excellent")))</f>
        <v>Good</v>
      </c>
    </row>
    <row r="585" spans="1:37" x14ac:dyDescent="0.3">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c r="AJ585" t="str">
        <f>IF(Table1[[#This Row],[Column1]]&lt;=30,"18-30",IF(Table1[[#This Row],[Column1]]&lt;=50,"31-50","51+"))</f>
        <v>31-50</v>
      </c>
      <c r="AK585" t="str">
        <f>IF(Table1[[#This Row],[WorkLifeBalance]]=1,"Poor",IF(Table1[[#This Row],[WorkLifeBalance]]=2,"Fair",IF(Table1[[#This Row],[WorkLifeBalance]]=3,"Good","Excellent")))</f>
        <v>Good</v>
      </c>
    </row>
    <row r="586" spans="1:37" x14ac:dyDescent="0.3">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c r="AJ586" t="str">
        <f>IF(Table1[[#This Row],[Column1]]&lt;=30,"18-30",IF(Table1[[#This Row],[Column1]]&lt;=50,"31-50","51+"))</f>
        <v>31-50</v>
      </c>
      <c r="AK586" t="str">
        <f>IF(Table1[[#This Row],[WorkLifeBalance]]=1,"Poor",IF(Table1[[#This Row],[WorkLifeBalance]]=2,"Fair",IF(Table1[[#This Row],[WorkLifeBalance]]=3,"Good","Excellent")))</f>
        <v>Fair</v>
      </c>
    </row>
    <row r="587" spans="1:37" x14ac:dyDescent="0.3">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c r="AJ587" t="str">
        <f>IF(Table1[[#This Row],[Column1]]&lt;=30,"18-30",IF(Table1[[#This Row],[Column1]]&lt;=50,"31-50","51+"))</f>
        <v>18-30</v>
      </c>
      <c r="AK587" t="str">
        <f>IF(Table1[[#This Row],[WorkLifeBalance]]=1,"Poor",IF(Table1[[#This Row],[WorkLifeBalance]]=2,"Fair",IF(Table1[[#This Row],[WorkLifeBalance]]=3,"Good","Excellent")))</f>
        <v>Good</v>
      </c>
    </row>
    <row r="588" spans="1:37" x14ac:dyDescent="0.3">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c r="AJ588" t="str">
        <f>IF(Table1[[#This Row],[Column1]]&lt;=30,"18-30",IF(Table1[[#This Row],[Column1]]&lt;=50,"31-50","51+"))</f>
        <v>18-30</v>
      </c>
      <c r="AK588" t="str">
        <f>IF(Table1[[#This Row],[WorkLifeBalance]]=1,"Poor",IF(Table1[[#This Row],[WorkLifeBalance]]=2,"Fair",IF(Table1[[#This Row],[WorkLifeBalance]]=3,"Good","Excellent")))</f>
        <v>Good</v>
      </c>
    </row>
    <row r="589" spans="1:37" x14ac:dyDescent="0.3">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c r="AJ589" t="str">
        <f>IF(Table1[[#This Row],[Column1]]&lt;=30,"18-30",IF(Table1[[#This Row],[Column1]]&lt;=50,"31-50","51+"))</f>
        <v>51+</v>
      </c>
      <c r="AK589" t="str">
        <f>IF(Table1[[#This Row],[WorkLifeBalance]]=1,"Poor",IF(Table1[[#This Row],[WorkLifeBalance]]=2,"Fair",IF(Table1[[#This Row],[WorkLifeBalance]]=3,"Good","Excellent")))</f>
        <v>Good</v>
      </c>
    </row>
    <row r="590" spans="1:37" x14ac:dyDescent="0.3">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c r="AJ590" t="str">
        <f>IF(Table1[[#This Row],[Column1]]&lt;=30,"18-30",IF(Table1[[#This Row],[Column1]]&lt;=50,"31-50","51+"))</f>
        <v>31-50</v>
      </c>
      <c r="AK590" t="str">
        <f>IF(Table1[[#This Row],[WorkLifeBalance]]=1,"Poor",IF(Table1[[#This Row],[WorkLifeBalance]]=2,"Fair",IF(Table1[[#This Row],[WorkLifeBalance]]=3,"Good","Excellent")))</f>
        <v>Good</v>
      </c>
    </row>
    <row r="591" spans="1:37" x14ac:dyDescent="0.3">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c r="AJ591" t="str">
        <f>IF(Table1[[#This Row],[Column1]]&lt;=30,"18-30",IF(Table1[[#This Row],[Column1]]&lt;=50,"31-50","51+"))</f>
        <v>18-30</v>
      </c>
      <c r="AK591" t="str">
        <f>IF(Table1[[#This Row],[WorkLifeBalance]]=1,"Poor",IF(Table1[[#This Row],[WorkLifeBalance]]=2,"Fair",IF(Table1[[#This Row],[WorkLifeBalance]]=3,"Good","Excellent")))</f>
        <v>Good</v>
      </c>
    </row>
    <row r="592" spans="1:37" x14ac:dyDescent="0.3">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c r="AJ592" t="str">
        <f>IF(Table1[[#This Row],[Column1]]&lt;=30,"18-30",IF(Table1[[#This Row],[Column1]]&lt;=50,"31-50","51+"))</f>
        <v>31-50</v>
      </c>
      <c r="AK592" t="str">
        <f>IF(Table1[[#This Row],[WorkLifeBalance]]=1,"Poor",IF(Table1[[#This Row],[WorkLifeBalance]]=2,"Fair",IF(Table1[[#This Row],[WorkLifeBalance]]=3,"Good","Excellent")))</f>
        <v>Excellent</v>
      </c>
    </row>
    <row r="593" spans="1:37" x14ac:dyDescent="0.3">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c r="AJ593" t="str">
        <f>IF(Table1[[#This Row],[Column1]]&lt;=30,"18-30",IF(Table1[[#This Row],[Column1]]&lt;=50,"31-50","51+"))</f>
        <v>31-50</v>
      </c>
      <c r="AK593" t="str">
        <f>IF(Table1[[#This Row],[WorkLifeBalance]]=1,"Poor",IF(Table1[[#This Row],[WorkLifeBalance]]=2,"Fair",IF(Table1[[#This Row],[WorkLifeBalance]]=3,"Good","Excellent")))</f>
        <v>Good</v>
      </c>
    </row>
    <row r="594" spans="1:37" x14ac:dyDescent="0.3">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c r="AJ594" t="str">
        <f>IF(Table1[[#This Row],[Column1]]&lt;=30,"18-30",IF(Table1[[#This Row],[Column1]]&lt;=50,"31-50","51+"))</f>
        <v>31-50</v>
      </c>
      <c r="AK594" t="str">
        <f>IF(Table1[[#This Row],[WorkLifeBalance]]=1,"Poor",IF(Table1[[#This Row],[WorkLifeBalance]]=2,"Fair",IF(Table1[[#This Row],[WorkLifeBalance]]=3,"Good","Excellent")))</f>
        <v>Fair</v>
      </c>
    </row>
    <row r="595" spans="1:37" x14ac:dyDescent="0.3">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c r="AJ595" t="str">
        <f>IF(Table1[[#This Row],[Column1]]&lt;=30,"18-30",IF(Table1[[#This Row],[Column1]]&lt;=50,"31-50","51+"))</f>
        <v>31-50</v>
      </c>
      <c r="AK595" t="str">
        <f>IF(Table1[[#This Row],[WorkLifeBalance]]=1,"Poor",IF(Table1[[#This Row],[WorkLifeBalance]]=2,"Fair",IF(Table1[[#This Row],[WorkLifeBalance]]=3,"Good","Excellent")))</f>
        <v>Good</v>
      </c>
    </row>
    <row r="596" spans="1:37" x14ac:dyDescent="0.3">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c r="AJ596" t="str">
        <f>IF(Table1[[#This Row],[Column1]]&lt;=30,"18-30",IF(Table1[[#This Row],[Column1]]&lt;=50,"31-50","51+"))</f>
        <v>18-30</v>
      </c>
      <c r="AK596" t="str">
        <f>IF(Table1[[#This Row],[WorkLifeBalance]]=1,"Poor",IF(Table1[[#This Row],[WorkLifeBalance]]=2,"Fair",IF(Table1[[#This Row],[WorkLifeBalance]]=3,"Good","Excellent")))</f>
        <v>Good</v>
      </c>
    </row>
    <row r="597" spans="1:37" x14ac:dyDescent="0.3">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c r="AJ597" t="str">
        <f>IF(Table1[[#This Row],[Column1]]&lt;=30,"18-30",IF(Table1[[#This Row],[Column1]]&lt;=50,"31-50","51+"))</f>
        <v>51+</v>
      </c>
      <c r="AK597" t="str">
        <f>IF(Table1[[#This Row],[WorkLifeBalance]]=1,"Poor",IF(Table1[[#This Row],[WorkLifeBalance]]=2,"Fair",IF(Table1[[#This Row],[WorkLifeBalance]]=3,"Good","Excellent")))</f>
        <v>Good</v>
      </c>
    </row>
    <row r="598" spans="1:37" x14ac:dyDescent="0.3">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c r="AJ598" t="str">
        <f>IF(Table1[[#This Row],[Column1]]&lt;=30,"18-30",IF(Table1[[#This Row],[Column1]]&lt;=50,"31-50","51+"))</f>
        <v>31-50</v>
      </c>
      <c r="AK598" t="str">
        <f>IF(Table1[[#This Row],[WorkLifeBalance]]=1,"Poor",IF(Table1[[#This Row],[WorkLifeBalance]]=2,"Fair",IF(Table1[[#This Row],[WorkLifeBalance]]=3,"Good","Excellent")))</f>
        <v>Good</v>
      </c>
    </row>
    <row r="599" spans="1:37" x14ac:dyDescent="0.3">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c r="AJ599" t="str">
        <f>IF(Table1[[#This Row],[Column1]]&lt;=30,"18-30",IF(Table1[[#This Row],[Column1]]&lt;=50,"31-50","51+"))</f>
        <v>31-50</v>
      </c>
      <c r="AK599" t="str">
        <f>IF(Table1[[#This Row],[WorkLifeBalance]]=1,"Poor",IF(Table1[[#This Row],[WorkLifeBalance]]=2,"Fair",IF(Table1[[#This Row],[WorkLifeBalance]]=3,"Good","Excellent")))</f>
        <v>Good</v>
      </c>
    </row>
    <row r="600" spans="1:37" x14ac:dyDescent="0.3">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c r="AJ600" t="str">
        <f>IF(Table1[[#This Row],[Column1]]&lt;=30,"18-30",IF(Table1[[#This Row],[Column1]]&lt;=50,"31-50","51+"))</f>
        <v>18-30</v>
      </c>
      <c r="AK600" t="str">
        <f>IF(Table1[[#This Row],[WorkLifeBalance]]=1,"Poor",IF(Table1[[#This Row],[WorkLifeBalance]]=2,"Fair",IF(Table1[[#This Row],[WorkLifeBalance]]=3,"Good","Excellent")))</f>
        <v>Fair</v>
      </c>
    </row>
    <row r="601" spans="1:37" x14ac:dyDescent="0.3">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c r="AJ601" t="str">
        <f>IF(Table1[[#This Row],[Column1]]&lt;=30,"18-30",IF(Table1[[#This Row],[Column1]]&lt;=50,"31-50","51+"))</f>
        <v>31-50</v>
      </c>
      <c r="AK601" t="str">
        <f>IF(Table1[[#This Row],[WorkLifeBalance]]=1,"Poor",IF(Table1[[#This Row],[WorkLifeBalance]]=2,"Fair",IF(Table1[[#This Row],[WorkLifeBalance]]=3,"Good","Excellent")))</f>
        <v>Good</v>
      </c>
    </row>
    <row r="602" spans="1:37" x14ac:dyDescent="0.3">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c r="AJ602" t="str">
        <f>IF(Table1[[#This Row],[Column1]]&lt;=30,"18-30",IF(Table1[[#This Row],[Column1]]&lt;=50,"31-50","51+"))</f>
        <v>31-50</v>
      </c>
      <c r="AK602" t="str">
        <f>IF(Table1[[#This Row],[WorkLifeBalance]]=1,"Poor",IF(Table1[[#This Row],[WorkLifeBalance]]=2,"Fair",IF(Table1[[#This Row],[WorkLifeBalance]]=3,"Good","Excellent")))</f>
        <v>Good</v>
      </c>
    </row>
    <row r="603" spans="1:37" x14ac:dyDescent="0.3">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c r="AJ603" t="str">
        <f>IF(Table1[[#This Row],[Column1]]&lt;=30,"18-30",IF(Table1[[#This Row],[Column1]]&lt;=50,"31-50","51+"))</f>
        <v>31-50</v>
      </c>
      <c r="AK603" t="str">
        <f>IF(Table1[[#This Row],[WorkLifeBalance]]=1,"Poor",IF(Table1[[#This Row],[WorkLifeBalance]]=2,"Fair",IF(Table1[[#This Row],[WorkLifeBalance]]=3,"Good","Excellent")))</f>
        <v>Good</v>
      </c>
    </row>
    <row r="604" spans="1:37" x14ac:dyDescent="0.3">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c r="AJ604" t="str">
        <f>IF(Table1[[#This Row],[Column1]]&lt;=30,"18-30",IF(Table1[[#This Row],[Column1]]&lt;=50,"31-50","51+"))</f>
        <v>18-30</v>
      </c>
      <c r="AK604" t="str">
        <f>IF(Table1[[#This Row],[WorkLifeBalance]]=1,"Poor",IF(Table1[[#This Row],[WorkLifeBalance]]=2,"Fair",IF(Table1[[#This Row],[WorkLifeBalance]]=3,"Good","Excellent")))</f>
        <v>Fair</v>
      </c>
    </row>
    <row r="605" spans="1:37" x14ac:dyDescent="0.3">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c r="AJ605" t="str">
        <f>IF(Table1[[#This Row],[Column1]]&lt;=30,"18-30",IF(Table1[[#This Row],[Column1]]&lt;=50,"31-50","51+"))</f>
        <v>31-50</v>
      </c>
      <c r="AK605" t="str">
        <f>IF(Table1[[#This Row],[WorkLifeBalance]]=1,"Poor",IF(Table1[[#This Row],[WorkLifeBalance]]=2,"Fair",IF(Table1[[#This Row],[WorkLifeBalance]]=3,"Good","Excellent")))</f>
        <v>Good</v>
      </c>
    </row>
    <row r="606" spans="1:37" x14ac:dyDescent="0.3">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c r="AJ606" t="str">
        <f>IF(Table1[[#This Row],[Column1]]&lt;=30,"18-30",IF(Table1[[#This Row],[Column1]]&lt;=50,"31-50","51+"))</f>
        <v>31-50</v>
      </c>
      <c r="AK606" t="str">
        <f>IF(Table1[[#This Row],[WorkLifeBalance]]=1,"Poor",IF(Table1[[#This Row],[WorkLifeBalance]]=2,"Fair",IF(Table1[[#This Row],[WorkLifeBalance]]=3,"Good","Excellent")))</f>
        <v>Fair</v>
      </c>
    </row>
    <row r="607" spans="1:37" x14ac:dyDescent="0.3">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c r="AJ607" t="str">
        <f>IF(Table1[[#This Row],[Column1]]&lt;=30,"18-30",IF(Table1[[#This Row],[Column1]]&lt;=50,"31-50","51+"))</f>
        <v>31-50</v>
      </c>
      <c r="AK607" t="str">
        <f>IF(Table1[[#This Row],[WorkLifeBalance]]=1,"Poor",IF(Table1[[#This Row],[WorkLifeBalance]]=2,"Fair",IF(Table1[[#This Row],[WorkLifeBalance]]=3,"Good","Excellent")))</f>
        <v>Fair</v>
      </c>
    </row>
    <row r="608" spans="1:37" x14ac:dyDescent="0.3">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c r="AJ608" t="str">
        <f>IF(Table1[[#This Row],[Column1]]&lt;=30,"18-30",IF(Table1[[#This Row],[Column1]]&lt;=50,"31-50","51+"))</f>
        <v>31-50</v>
      </c>
      <c r="AK608" t="str">
        <f>IF(Table1[[#This Row],[WorkLifeBalance]]=1,"Poor",IF(Table1[[#This Row],[WorkLifeBalance]]=2,"Fair",IF(Table1[[#This Row],[WorkLifeBalance]]=3,"Good","Excellent")))</f>
        <v>Good</v>
      </c>
    </row>
    <row r="609" spans="1:37" x14ac:dyDescent="0.3">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c r="AJ609" t="str">
        <f>IF(Table1[[#This Row],[Column1]]&lt;=30,"18-30",IF(Table1[[#This Row],[Column1]]&lt;=50,"31-50","51+"))</f>
        <v>31-50</v>
      </c>
      <c r="AK609" t="str">
        <f>IF(Table1[[#This Row],[WorkLifeBalance]]=1,"Poor",IF(Table1[[#This Row],[WorkLifeBalance]]=2,"Fair",IF(Table1[[#This Row],[WorkLifeBalance]]=3,"Good","Excellent")))</f>
        <v>Excellent</v>
      </c>
    </row>
    <row r="610" spans="1:37" x14ac:dyDescent="0.3">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c r="AJ610" t="str">
        <f>IF(Table1[[#This Row],[Column1]]&lt;=30,"18-30",IF(Table1[[#This Row],[Column1]]&lt;=50,"31-50","51+"))</f>
        <v>51+</v>
      </c>
      <c r="AK610" t="str">
        <f>IF(Table1[[#This Row],[WorkLifeBalance]]=1,"Poor",IF(Table1[[#This Row],[WorkLifeBalance]]=2,"Fair",IF(Table1[[#This Row],[WorkLifeBalance]]=3,"Good","Excellent")))</f>
        <v>Fair</v>
      </c>
    </row>
    <row r="611" spans="1:37" x14ac:dyDescent="0.3">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c r="AJ611" t="str">
        <f>IF(Table1[[#This Row],[Column1]]&lt;=30,"18-30",IF(Table1[[#This Row],[Column1]]&lt;=50,"31-50","51+"))</f>
        <v>31-50</v>
      </c>
      <c r="AK611" t="str">
        <f>IF(Table1[[#This Row],[WorkLifeBalance]]=1,"Poor",IF(Table1[[#This Row],[WorkLifeBalance]]=2,"Fair",IF(Table1[[#This Row],[WorkLifeBalance]]=3,"Good","Excellent")))</f>
        <v>Good</v>
      </c>
    </row>
    <row r="612" spans="1:37" x14ac:dyDescent="0.3">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c r="AJ612" t="str">
        <f>IF(Table1[[#This Row],[Column1]]&lt;=30,"18-30",IF(Table1[[#This Row],[Column1]]&lt;=50,"31-50","51+"))</f>
        <v>18-30</v>
      </c>
      <c r="AK612" t="str">
        <f>IF(Table1[[#This Row],[WorkLifeBalance]]=1,"Poor",IF(Table1[[#This Row],[WorkLifeBalance]]=2,"Fair",IF(Table1[[#This Row],[WorkLifeBalance]]=3,"Good","Excellent")))</f>
        <v>Good</v>
      </c>
    </row>
    <row r="613" spans="1:37" x14ac:dyDescent="0.3">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c r="AJ613" t="str">
        <f>IF(Table1[[#This Row],[Column1]]&lt;=30,"18-30",IF(Table1[[#This Row],[Column1]]&lt;=50,"31-50","51+"))</f>
        <v>31-50</v>
      </c>
      <c r="AK613" t="str">
        <f>IF(Table1[[#This Row],[WorkLifeBalance]]=1,"Poor",IF(Table1[[#This Row],[WorkLifeBalance]]=2,"Fair",IF(Table1[[#This Row],[WorkLifeBalance]]=3,"Good","Excellent")))</f>
        <v>Excellent</v>
      </c>
    </row>
    <row r="614" spans="1:37" x14ac:dyDescent="0.3">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c r="AJ614" t="str">
        <f>IF(Table1[[#This Row],[Column1]]&lt;=30,"18-30",IF(Table1[[#This Row],[Column1]]&lt;=50,"31-50","51+"))</f>
        <v>18-30</v>
      </c>
      <c r="AK614" t="str">
        <f>IF(Table1[[#This Row],[WorkLifeBalance]]=1,"Poor",IF(Table1[[#This Row],[WorkLifeBalance]]=2,"Fair",IF(Table1[[#This Row],[WorkLifeBalance]]=3,"Good","Excellent")))</f>
        <v>Good</v>
      </c>
    </row>
    <row r="615" spans="1:37" x14ac:dyDescent="0.3">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c r="AJ615" t="str">
        <f>IF(Table1[[#This Row],[Column1]]&lt;=30,"18-30",IF(Table1[[#This Row],[Column1]]&lt;=50,"31-50","51+"))</f>
        <v>31-50</v>
      </c>
      <c r="AK615" t="str">
        <f>IF(Table1[[#This Row],[WorkLifeBalance]]=1,"Poor",IF(Table1[[#This Row],[WorkLifeBalance]]=2,"Fair",IF(Table1[[#This Row],[WorkLifeBalance]]=3,"Good","Excellent")))</f>
        <v>Poor</v>
      </c>
    </row>
    <row r="616" spans="1:37" x14ac:dyDescent="0.3">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c r="AJ616" t="str">
        <f>IF(Table1[[#This Row],[Column1]]&lt;=30,"18-30",IF(Table1[[#This Row],[Column1]]&lt;=50,"31-50","51+"))</f>
        <v>18-30</v>
      </c>
      <c r="AK616" t="str">
        <f>IF(Table1[[#This Row],[WorkLifeBalance]]=1,"Poor",IF(Table1[[#This Row],[WorkLifeBalance]]=2,"Fair",IF(Table1[[#This Row],[WorkLifeBalance]]=3,"Good","Excellent")))</f>
        <v>Good</v>
      </c>
    </row>
    <row r="617" spans="1:37" x14ac:dyDescent="0.3">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c r="AJ617" t="str">
        <f>IF(Table1[[#This Row],[Column1]]&lt;=30,"18-30",IF(Table1[[#This Row],[Column1]]&lt;=50,"31-50","51+"))</f>
        <v>18-30</v>
      </c>
      <c r="AK617" t="str">
        <f>IF(Table1[[#This Row],[WorkLifeBalance]]=1,"Poor",IF(Table1[[#This Row],[WorkLifeBalance]]=2,"Fair",IF(Table1[[#This Row],[WorkLifeBalance]]=3,"Good","Excellent")))</f>
        <v>Fair</v>
      </c>
    </row>
    <row r="618" spans="1:37" x14ac:dyDescent="0.3">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c r="AJ618" t="str">
        <f>IF(Table1[[#This Row],[Column1]]&lt;=30,"18-30",IF(Table1[[#This Row],[Column1]]&lt;=50,"31-50","51+"))</f>
        <v>51+</v>
      </c>
      <c r="AK618" t="str">
        <f>IF(Table1[[#This Row],[WorkLifeBalance]]=1,"Poor",IF(Table1[[#This Row],[WorkLifeBalance]]=2,"Fair",IF(Table1[[#This Row],[WorkLifeBalance]]=3,"Good","Excellent")))</f>
        <v>Fair</v>
      </c>
    </row>
    <row r="619" spans="1:37" x14ac:dyDescent="0.3">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c r="AJ619" t="str">
        <f>IF(Table1[[#This Row],[Column1]]&lt;=30,"18-30",IF(Table1[[#This Row],[Column1]]&lt;=50,"31-50","51+"))</f>
        <v>31-50</v>
      </c>
      <c r="AK619" t="str">
        <f>IF(Table1[[#This Row],[WorkLifeBalance]]=1,"Poor",IF(Table1[[#This Row],[WorkLifeBalance]]=2,"Fair",IF(Table1[[#This Row],[WorkLifeBalance]]=3,"Good","Excellent")))</f>
        <v>Fair</v>
      </c>
    </row>
    <row r="620" spans="1:37" x14ac:dyDescent="0.3">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c r="AJ620" t="str">
        <f>IF(Table1[[#This Row],[Column1]]&lt;=30,"18-30",IF(Table1[[#This Row],[Column1]]&lt;=50,"31-50","51+"))</f>
        <v>18-30</v>
      </c>
      <c r="AK620" t="str">
        <f>IF(Table1[[#This Row],[WorkLifeBalance]]=1,"Poor",IF(Table1[[#This Row],[WorkLifeBalance]]=2,"Fair",IF(Table1[[#This Row],[WorkLifeBalance]]=3,"Good","Excellent")))</f>
        <v>Fair</v>
      </c>
    </row>
    <row r="621" spans="1:37" x14ac:dyDescent="0.3">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c r="AJ621" t="str">
        <f>IF(Table1[[#This Row],[Column1]]&lt;=30,"18-30",IF(Table1[[#This Row],[Column1]]&lt;=50,"31-50","51+"))</f>
        <v>31-50</v>
      </c>
      <c r="AK621" t="str">
        <f>IF(Table1[[#This Row],[WorkLifeBalance]]=1,"Poor",IF(Table1[[#This Row],[WorkLifeBalance]]=2,"Fair",IF(Table1[[#This Row],[WorkLifeBalance]]=3,"Good","Excellent")))</f>
        <v>Good</v>
      </c>
    </row>
    <row r="622" spans="1:37" x14ac:dyDescent="0.3">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c r="AJ622" t="str">
        <f>IF(Table1[[#This Row],[Column1]]&lt;=30,"18-30",IF(Table1[[#This Row],[Column1]]&lt;=50,"31-50","51+"))</f>
        <v>31-50</v>
      </c>
      <c r="AK622" t="str">
        <f>IF(Table1[[#This Row],[WorkLifeBalance]]=1,"Poor",IF(Table1[[#This Row],[WorkLifeBalance]]=2,"Fair",IF(Table1[[#This Row],[WorkLifeBalance]]=3,"Good","Excellent")))</f>
        <v>Fair</v>
      </c>
    </row>
    <row r="623" spans="1:37" x14ac:dyDescent="0.3">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c r="AJ623" t="str">
        <f>IF(Table1[[#This Row],[Column1]]&lt;=30,"18-30",IF(Table1[[#This Row],[Column1]]&lt;=50,"31-50","51+"))</f>
        <v>31-50</v>
      </c>
      <c r="AK623" t="str">
        <f>IF(Table1[[#This Row],[WorkLifeBalance]]=1,"Poor",IF(Table1[[#This Row],[WorkLifeBalance]]=2,"Fair",IF(Table1[[#This Row],[WorkLifeBalance]]=3,"Good","Excellent")))</f>
        <v>Fair</v>
      </c>
    </row>
    <row r="624" spans="1:37" x14ac:dyDescent="0.3">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c r="AJ624" t="str">
        <f>IF(Table1[[#This Row],[Column1]]&lt;=30,"18-30",IF(Table1[[#This Row],[Column1]]&lt;=50,"31-50","51+"))</f>
        <v>31-50</v>
      </c>
      <c r="AK624" t="str">
        <f>IF(Table1[[#This Row],[WorkLifeBalance]]=1,"Poor",IF(Table1[[#This Row],[WorkLifeBalance]]=2,"Fair",IF(Table1[[#This Row],[WorkLifeBalance]]=3,"Good","Excellent")))</f>
        <v>Fair</v>
      </c>
    </row>
    <row r="625" spans="1:37" x14ac:dyDescent="0.3">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c r="AJ625" t="str">
        <f>IF(Table1[[#This Row],[Column1]]&lt;=30,"18-30",IF(Table1[[#This Row],[Column1]]&lt;=50,"31-50","51+"))</f>
        <v>18-30</v>
      </c>
      <c r="AK625" t="str">
        <f>IF(Table1[[#This Row],[WorkLifeBalance]]=1,"Poor",IF(Table1[[#This Row],[WorkLifeBalance]]=2,"Fair",IF(Table1[[#This Row],[WorkLifeBalance]]=3,"Good","Excellent")))</f>
        <v>Fair</v>
      </c>
    </row>
    <row r="626" spans="1:37" x14ac:dyDescent="0.3">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c r="AJ626" t="str">
        <f>IF(Table1[[#This Row],[Column1]]&lt;=30,"18-30",IF(Table1[[#This Row],[Column1]]&lt;=50,"31-50","51+"))</f>
        <v>51+</v>
      </c>
      <c r="AK626" t="str">
        <f>IF(Table1[[#This Row],[WorkLifeBalance]]=1,"Poor",IF(Table1[[#This Row],[WorkLifeBalance]]=2,"Fair",IF(Table1[[#This Row],[WorkLifeBalance]]=3,"Good","Excellent")))</f>
        <v>Good</v>
      </c>
    </row>
    <row r="627" spans="1:37" x14ac:dyDescent="0.3">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c r="AJ627" t="str">
        <f>IF(Table1[[#This Row],[Column1]]&lt;=30,"18-30",IF(Table1[[#This Row],[Column1]]&lt;=50,"31-50","51+"))</f>
        <v>31-50</v>
      </c>
      <c r="AK627" t="str">
        <f>IF(Table1[[#This Row],[WorkLifeBalance]]=1,"Poor",IF(Table1[[#This Row],[WorkLifeBalance]]=2,"Fair",IF(Table1[[#This Row],[WorkLifeBalance]]=3,"Good","Excellent")))</f>
        <v>Good</v>
      </c>
    </row>
    <row r="628" spans="1:37" x14ac:dyDescent="0.3">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c r="AJ628" t="str">
        <f>IF(Table1[[#This Row],[Column1]]&lt;=30,"18-30",IF(Table1[[#This Row],[Column1]]&lt;=50,"31-50","51+"))</f>
        <v>31-50</v>
      </c>
      <c r="AK628" t="str">
        <f>IF(Table1[[#This Row],[WorkLifeBalance]]=1,"Poor",IF(Table1[[#This Row],[WorkLifeBalance]]=2,"Fair",IF(Table1[[#This Row],[WorkLifeBalance]]=3,"Good","Excellent")))</f>
        <v>Fair</v>
      </c>
    </row>
    <row r="629" spans="1:37" x14ac:dyDescent="0.3">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c r="AJ629" t="str">
        <f>IF(Table1[[#This Row],[Column1]]&lt;=30,"18-30",IF(Table1[[#This Row],[Column1]]&lt;=50,"31-50","51+"))</f>
        <v>51+</v>
      </c>
      <c r="AK629" t="str">
        <f>IF(Table1[[#This Row],[WorkLifeBalance]]=1,"Poor",IF(Table1[[#This Row],[WorkLifeBalance]]=2,"Fair",IF(Table1[[#This Row],[WorkLifeBalance]]=3,"Good","Excellent")))</f>
        <v>Good</v>
      </c>
    </row>
    <row r="630" spans="1:37" x14ac:dyDescent="0.3">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c r="AJ630" t="str">
        <f>IF(Table1[[#This Row],[Column1]]&lt;=30,"18-30",IF(Table1[[#This Row],[Column1]]&lt;=50,"31-50","51+"))</f>
        <v>31-50</v>
      </c>
      <c r="AK630" t="str">
        <f>IF(Table1[[#This Row],[WorkLifeBalance]]=1,"Poor",IF(Table1[[#This Row],[WorkLifeBalance]]=2,"Fair",IF(Table1[[#This Row],[WorkLifeBalance]]=3,"Good","Excellent")))</f>
        <v>Good</v>
      </c>
    </row>
    <row r="631" spans="1:37" x14ac:dyDescent="0.3">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c r="AJ631" t="str">
        <f>IF(Table1[[#This Row],[Column1]]&lt;=30,"18-30",IF(Table1[[#This Row],[Column1]]&lt;=50,"31-50","51+"))</f>
        <v>18-30</v>
      </c>
      <c r="AK631" t="str">
        <f>IF(Table1[[#This Row],[WorkLifeBalance]]=1,"Poor",IF(Table1[[#This Row],[WorkLifeBalance]]=2,"Fair",IF(Table1[[#This Row],[WorkLifeBalance]]=3,"Good","Excellent")))</f>
        <v>Good</v>
      </c>
    </row>
    <row r="632" spans="1:37" x14ac:dyDescent="0.3">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c r="AJ632" t="str">
        <f>IF(Table1[[#This Row],[Column1]]&lt;=30,"18-30",IF(Table1[[#This Row],[Column1]]&lt;=50,"31-50","51+"))</f>
        <v>18-30</v>
      </c>
      <c r="AK632" t="str">
        <f>IF(Table1[[#This Row],[WorkLifeBalance]]=1,"Poor",IF(Table1[[#This Row],[WorkLifeBalance]]=2,"Fair",IF(Table1[[#This Row],[WorkLifeBalance]]=3,"Good","Excellent")))</f>
        <v>Poor</v>
      </c>
    </row>
    <row r="633" spans="1:37" x14ac:dyDescent="0.3">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c r="AJ633" t="str">
        <f>IF(Table1[[#This Row],[Column1]]&lt;=30,"18-30",IF(Table1[[#This Row],[Column1]]&lt;=50,"31-50","51+"))</f>
        <v>31-50</v>
      </c>
      <c r="AK633" t="str">
        <f>IF(Table1[[#This Row],[WorkLifeBalance]]=1,"Poor",IF(Table1[[#This Row],[WorkLifeBalance]]=2,"Fair",IF(Table1[[#This Row],[WorkLifeBalance]]=3,"Good","Excellent")))</f>
        <v>Fair</v>
      </c>
    </row>
    <row r="634" spans="1:37" x14ac:dyDescent="0.3">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c r="AJ634" t="str">
        <f>IF(Table1[[#This Row],[Column1]]&lt;=30,"18-30",IF(Table1[[#This Row],[Column1]]&lt;=50,"31-50","51+"))</f>
        <v>31-50</v>
      </c>
      <c r="AK634" t="str">
        <f>IF(Table1[[#This Row],[WorkLifeBalance]]=1,"Poor",IF(Table1[[#This Row],[WorkLifeBalance]]=2,"Fair",IF(Table1[[#This Row],[WorkLifeBalance]]=3,"Good","Excellent")))</f>
        <v>Good</v>
      </c>
    </row>
    <row r="635" spans="1:37" x14ac:dyDescent="0.3">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c r="AJ635" t="str">
        <f>IF(Table1[[#This Row],[Column1]]&lt;=30,"18-30",IF(Table1[[#This Row],[Column1]]&lt;=50,"31-50","51+"))</f>
        <v>31-50</v>
      </c>
      <c r="AK635" t="str">
        <f>IF(Table1[[#This Row],[WorkLifeBalance]]=1,"Poor",IF(Table1[[#This Row],[WorkLifeBalance]]=2,"Fair",IF(Table1[[#This Row],[WorkLifeBalance]]=3,"Good","Excellent")))</f>
        <v>Good</v>
      </c>
    </row>
    <row r="636" spans="1:37" x14ac:dyDescent="0.3">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c r="AJ636" t="str">
        <f>IF(Table1[[#This Row],[Column1]]&lt;=30,"18-30",IF(Table1[[#This Row],[Column1]]&lt;=50,"31-50","51+"))</f>
        <v>18-30</v>
      </c>
      <c r="AK636" t="str">
        <f>IF(Table1[[#This Row],[WorkLifeBalance]]=1,"Poor",IF(Table1[[#This Row],[WorkLifeBalance]]=2,"Fair",IF(Table1[[#This Row],[WorkLifeBalance]]=3,"Good","Excellent")))</f>
        <v>Good</v>
      </c>
    </row>
    <row r="637" spans="1:37" x14ac:dyDescent="0.3">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c r="AJ637" t="str">
        <f>IF(Table1[[#This Row],[Column1]]&lt;=30,"18-30",IF(Table1[[#This Row],[Column1]]&lt;=50,"31-50","51+"))</f>
        <v>31-50</v>
      </c>
      <c r="AK637" t="str">
        <f>IF(Table1[[#This Row],[WorkLifeBalance]]=1,"Poor",IF(Table1[[#This Row],[WorkLifeBalance]]=2,"Fair",IF(Table1[[#This Row],[WorkLifeBalance]]=3,"Good","Excellent")))</f>
        <v>Good</v>
      </c>
    </row>
    <row r="638" spans="1:37" x14ac:dyDescent="0.3">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c r="AJ638" t="str">
        <f>IF(Table1[[#This Row],[Column1]]&lt;=30,"18-30",IF(Table1[[#This Row],[Column1]]&lt;=50,"31-50","51+"))</f>
        <v>31-50</v>
      </c>
      <c r="AK638" t="str">
        <f>IF(Table1[[#This Row],[WorkLifeBalance]]=1,"Poor",IF(Table1[[#This Row],[WorkLifeBalance]]=2,"Fair",IF(Table1[[#This Row],[WorkLifeBalance]]=3,"Good","Excellent")))</f>
        <v>Fair</v>
      </c>
    </row>
    <row r="639" spans="1:37" x14ac:dyDescent="0.3">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c r="AJ639" t="str">
        <f>IF(Table1[[#This Row],[Column1]]&lt;=30,"18-30",IF(Table1[[#This Row],[Column1]]&lt;=50,"31-50","51+"))</f>
        <v>31-50</v>
      </c>
      <c r="AK639" t="str">
        <f>IF(Table1[[#This Row],[WorkLifeBalance]]=1,"Poor",IF(Table1[[#This Row],[WorkLifeBalance]]=2,"Fair",IF(Table1[[#This Row],[WorkLifeBalance]]=3,"Good","Excellent")))</f>
        <v>Good</v>
      </c>
    </row>
    <row r="640" spans="1:37" x14ac:dyDescent="0.3">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c r="AJ640" t="str">
        <f>IF(Table1[[#This Row],[Column1]]&lt;=30,"18-30",IF(Table1[[#This Row],[Column1]]&lt;=50,"31-50","51+"))</f>
        <v>18-30</v>
      </c>
      <c r="AK640" t="str">
        <f>IF(Table1[[#This Row],[WorkLifeBalance]]=1,"Poor",IF(Table1[[#This Row],[WorkLifeBalance]]=2,"Fair",IF(Table1[[#This Row],[WorkLifeBalance]]=3,"Good","Excellent")))</f>
        <v>Excellent</v>
      </c>
    </row>
    <row r="641" spans="1:37" x14ac:dyDescent="0.3">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c r="AJ641" t="str">
        <f>IF(Table1[[#This Row],[Column1]]&lt;=30,"18-30",IF(Table1[[#This Row],[Column1]]&lt;=50,"31-50","51+"))</f>
        <v>31-50</v>
      </c>
      <c r="AK641" t="str">
        <f>IF(Table1[[#This Row],[WorkLifeBalance]]=1,"Poor",IF(Table1[[#This Row],[WorkLifeBalance]]=2,"Fair",IF(Table1[[#This Row],[WorkLifeBalance]]=3,"Good","Excellent")))</f>
        <v>Good</v>
      </c>
    </row>
    <row r="642" spans="1:37" x14ac:dyDescent="0.3">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c r="AJ642" t="str">
        <f>IF(Table1[[#This Row],[Column1]]&lt;=30,"18-30",IF(Table1[[#This Row],[Column1]]&lt;=50,"31-50","51+"))</f>
        <v>18-30</v>
      </c>
      <c r="AK642" t="str">
        <f>IF(Table1[[#This Row],[WorkLifeBalance]]=1,"Poor",IF(Table1[[#This Row],[WorkLifeBalance]]=2,"Fair",IF(Table1[[#This Row],[WorkLifeBalance]]=3,"Good","Excellent")))</f>
        <v>Fair</v>
      </c>
    </row>
    <row r="643" spans="1:37" x14ac:dyDescent="0.3">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c r="AJ643" t="str">
        <f>IF(Table1[[#This Row],[Column1]]&lt;=30,"18-30",IF(Table1[[#This Row],[Column1]]&lt;=50,"31-50","51+"))</f>
        <v>31-50</v>
      </c>
      <c r="AK643" t="str">
        <f>IF(Table1[[#This Row],[WorkLifeBalance]]=1,"Poor",IF(Table1[[#This Row],[WorkLifeBalance]]=2,"Fair",IF(Table1[[#This Row],[WorkLifeBalance]]=3,"Good","Excellent")))</f>
        <v>Good</v>
      </c>
    </row>
    <row r="644" spans="1:37" x14ac:dyDescent="0.3">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c r="AJ644" t="str">
        <f>IF(Table1[[#This Row],[Column1]]&lt;=30,"18-30",IF(Table1[[#This Row],[Column1]]&lt;=50,"31-50","51+"))</f>
        <v>31-50</v>
      </c>
      <c r="AK644" t="str">
        <f>IF(Table1[[#This Row],[WorkLifeBalance]]=1,"Poor",IF(Table1[[#This Row],[WorkLifeBalance]]=2,"Fair",IF(Table1[[#This Row],[WorkLifeBalance]]=3,"Good","Excellent")))</f>
        <v>Good</v>
      </c>
    </row>
    <row r="645" spans="1:37" x14ac:dyDescent="0.3">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c r="AJ645" t="str">
        <f>IF(Table1[[#This Row],[Column1]]&lt;=30,"18-30",IF(Table1[[#This Row],[Column1]]&lt;=50,"31-50","51+"))</f>
        <v>31-50</v>
      </c>
      <c r="AK645" t="str">
        <f>IF(Table1[[#This Row],[WorkLifeBalance]]=1,"Poor",IF(Table1[[#This Row],[WorkLifeBalance]]=2,"Fair",IF(Table1[[#This Row],[WorkLifeBalance]]=3,"Good","Excellent")))</f>
        <v>Fair</v>
      </c>
    </row>
    <row r="646" spans="1:37" x14ac:dyDescent="0.3">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c r="AJ646" t="str">
        <f>IF(Table1[[#This Row],[Column1]]&lt;=30,"18-30",IF(Table1[[#This Row],[Column1]]&lt;=50,"31-50","51+"))</f>
        <v>31-50</v>
      </c>
      <c r="AK646" t="str">
        <f>IF(Table1[[#This Row],[WorkLifeBalance]]=1,"Poor",IF(Table1[[#This Row],[WorkLifeBalance]]=2,"Fair",IF(Table1[[#This Row],[WorkLifeBalance]]=3,"Good","Excellent")))</f>
        <v>Good</v>
      </c>
    </row>
    <row r="647" spans="1:37" x14ac:dyDescent="0.3">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c r="AJ647" t="str">
        <f>IF(Table1[[#This Row],[Column1]]&lt;=30,"18-30",IF(Table1[[#This Row],[Column1]]&lt;=50,"31-50","51+"))</f>
        <v>18-30</v>
      </c>
      <c r="AK647" t="str">
        <f>IF(Table1[[#This Row],[WorkLifeBalance]]=1,"Poor",IF(Table1[[#This Row],[WorkLifeBalance]]=2,"Fair",IF(Table1[[#This Row],[WorkLifeBalance]]=3,"Good","Excellent")))</f>
        <v>Good</v>
      </c>
    </row>
    <row r="648" spans="1:37" x14ac:dyDescent="0.3">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c r="AJ648" t="str">
        <f>IF(Table1[[#This Row],[Column1]]&lt;=30,"18-30",IF(Table1[[#This Row],[Column1]]&lt;=50,"31-50","51+"))</f>
        <v>51+</v>
      </c>
      <c r="AK648" t="str">
        <f>IF(Table1[[#This Row],[WorkLifeBalance]]=1,"Poor",IF(Table1[[#This Row],[WorkLifeBalance]]=2,"Fair",IF(Table1[[#This Row],[WorkLifeBalance]]=3,"Good","Excellent")))</f>
        <v>Good</v>
      </c>
    </row>
    <row r="649" spans="1:37" x14ac:dyDescent="0.3">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c r="AJ649" t="str">
        <f>IF(Table1[[#This Row],[Column1]]&lt;=30,"18-30",IF(Table1[[#This Row],[Column1]]&lt;=50,"31-50","51+"))</f>
        <v>31-50</v>
      </c>
      <c r="AK649" t="str">
        <f>IF(Table1[[#This Row],[WorkLifeBalance]]=1,"Poor",IF(Table1[[#This Row],[WorkLifeBalance]]=2,"Fair",IF(Table1[[#This Row],[WorkLifeBalance]]=3,"Good","Excellent")))</f>
        <v>Good</v>
      </c>
    </row>
    <row r="650" spans="1:37" x14ac:dyDescent="0.3">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c r="AJ650" t="str">
        <f>IF(Table1[[#This Row],[Column1]]&lt;=30,"18-30",IF(Table1[[#This Row],[Column1]]&lt;=50,"31-50","51+"))</f>
        <v>31-50</v>
      </c>
      <c r="AK650" t="str">
        <f>IF(Table1[[#This Row],[WorkLifeBalance]]=1,"Poor",IF(Table1[[#This Row],[WorkLifeBalance]]=2,"Fair",IF(Table1[[#This Row],[WorkLifeBalance]]=3,"Good","Excellent")))</f>
        <v>Good</v>
      </c>
    </row>
    <row r="651" spans="1:37" x14ac:dyDescent="0.3">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c r="AJ651" t="str">
        <f>IF(Table1[[#This Row],[Column1]]&lt;=30,"18-30",IF(Table1[[#This Row],[Column1]]&lt;=50,"31-50","51+"))</f>
        <v>51+</v>
      </c>
      <c r="AK651" t="str">
        <f>IF(Table1[[#This Row],[WorkLifeBalance]]=1,"Poor",IF(Table1[[#This Row],[WorkLifeBalance]]=2,"Fair",IF(Table1[[#This Row],[WorkLifeBalance]]=3,"Good","Excellent")))</f>
        <v>Good</v>
      </c>
    </row>
    <row r="652" spans="1:37" x14ac:dyDescent="0.3">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c r="AJ652" t="str">
        <f>IF(Table1[[#This Row],[Column1]]&lt;=30,"18-30",IF(Table1[[#This Row],[Column1]]&lt;=50,"31-50","51+"))</f>
        <v>31-50</v>
      </c>
      <c r="AK652" t="str">
        <f>IF(Table1[[#This Row],[WorkLifeBalance]]=1,"Poor",IF(Table1[[#This Row],[WorkLifeBalance]]=2,"Fair",IF(Table1[[#This Row],[WorkLifeBalance]]=3,"Good","Excellent")))</f>
        <v>Fair</v>
      </c>
    </row>
    <row r="653" spans="1:37" x14ac:dyDescent="0.3">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c r="AJ653" t="str">
        <f>IF(Table1[[#This Row],[Column1]]&lt;=30,"18-30",IF(Table1[[#This Row],[Column1]]&lt;=50,"31-50","51+"))</f>
        <v>31-50</v>
      </c>
      <c r="AK653" t="str">
        <f>IF(Table1[[#This Row],[WorkLifeBalance]]=1,"Poor",IF(Table1[[#This Row],[WorkLifeBalance]]=2,"Fair",IF(Table1[[#This Row],[WorkLifeBalance]]=3,"Good","Excellent")))</f>
        <v>Good</v>
      </c>
    </row>
    <row r="654" spans="1:37" x14ac:dyDescent="0.3">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c r="AJ654" t="str">
        <f>IF(Table1[[#This Row],[Column1]]&lt;=30,"18-30",IF(Table1[[#This Row],[Column1]]&lt;=50,"31-50","51+"))</f>
        <v>31-50</v>
      </c>
      <c r="AK654" t="str">
        <f>IF(Table1[[#This Row],[WorkLifeBalance]]=1,"Poor",IF(Table1[[#This Row],[WorkLifeBalance]]=2,"Fair",IF(Table1[[#This Row],[WorkLifeBalance]]=3,"Good","Excellent")))</f>
        <v>Good</v>
      </c>
    </row>
    <row r="655" spans="1:37" x14ac:dyDescent="0.3">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c r="AJ655" t="str">
        <f>IF(Table1[[#This Row],[Column1]]&lt;=30,"18-30",IF(Table1[[#This Row],[Column1]]&lt;=50,"31-50","51+"))</f>
        <v>31-50</v>
      </c>
      <c r="AK655" t="str">
        <f>IF(Table1[[#This Row],[WorkLifeBalance]]=1,"Poor",IF(Table1[[#This Row],[WorkLifeBalance]]=2,"Fair",IF(Table1[[#This Row],[WorkLifeBalance]]=3,"Good","Excellent")))</f>
        <v>Good</v>
      </c>
    </row>
    <row r="656" spans="1:37" x14ac:dyDescent="0.3">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c r="AJ656" t="str">
        <f>IF(Table1[[#This Row],[Column1]]&lt;=30,"18-30",IF(Table1[[#This Row],[Column1]]&lt;=50,"31-50","51+"))</f>
        <v>31-50</v>
      </c>
      <c r="AK656" t="str">
        <f>IF(Table1[[#This Row],[WorkLifeBalance]]=1,"Poor",IF(Table1[[#This Row],[WorkLifeBalance]]=2,"Fair",IF(Table1[[#This Row],[WorkLifeBalance]]=3,"Good","Excellent")))</f>
        <v>Good</v>
      </c>
    </row>
    <row r="657" spans="1:37" x14ac:dyDescent="0.3">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c r="AJ657" t="str">
        <f>IF(Table1[[#This Row],[Column1]]&lt;=30,"18-30",IF(Table1[[#This Row],[Column1]]&lt;=50,"31-50","51+"))</f>
        <v>31-50</v>
      </c>
      <c r="AK657" t="str">
        <f>IF(Table1[[#This Row],[WorkLifeBalance]]=1,"Poor",IF(Table1[[#This Row],[WorkLifeBalance]]=2,"Fair",IF(Table1[[#This Row],[WorkLifeBalance]]=3,"Good","Excellent")))</f>
        <v>Excellent</v>
      </c>
    </row>
    <row r="658" spans="1:37" x14ac:dyDescent="0.3">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c r="AJ658" t="str">
        <f>IF(Table1[[#This Row],[Column1]]&lt;=30,"18-30",IF(Table1[[#This Row],[Column1]]&lt;=50,"31-50","51+"))</f>
        <v>31-50</v>
      </c>
      <c r="AK658" t="str">
        <f>IF(Table1[[#This Row],[WorkLifeBalance]]=1,"Poor",IF(Table1[[#This Row],[WorkLifeBalance]]=2,"Fair",IF(Table1[[#This Row],[WorkLifeBalance]]=3,"Good","Excellent")))</f>
        <v>Poor</v>
      </c>
    </row>
    <row r="659" spans="1:37" x14ac:dyDescent="0.3">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c r="AJ659" t="str">
        <f>IF(Table1[[#This Row],[Column1]]&lt;=30,"18-30",IF(Table1[[#This Row],[Column1]]&lt;=50,"31-50","51+"))</f>
        <v>18-30</v>
      </c>
      <c r="AK659" t="str">
        <f>IF(Table1[[#This Row],[WorkLifeBalance]]=1,"Poor",IF(Table1[[#This Row],[WorkLifeBalance]]=2,"Fair",IF(Table1[[#This Row],[WorkLifeBalance]]=3,"Good","Excellent")))</f>
        <v>Good</v>
      </c>
    </row>
    <row r="660" spans="1:37" x14ac:dyDescent="0.3">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c r="AJ660" t="str">
        <f>IF(Table1[[#This Row],[Column1]]&lt;=30,"18-30",IF(Table1[[#This Row],[Column1]]&lt;=50,"31-50","51+"))</f>
        <v>31-50</v>
      </c>
      <c r="AK660" t="str">
        <f>IF(Table1[[#This Row],[WorkLifeBalance]]=1,"Poor",IF(Table1[[#This Row],[WorkLifeBalance]]=2,"Fair",IF(Table1[[#This Row],[WorkLifeBalance]]=3,"Good","Excellent")))</f>
        <v>Good</v>
      </c>
    </row>
    <row r="661" spans="1:37" x14ac:dyDescent="0.3">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c r="AJ661" t="str">
        <f>IF(Table1[[#This Row],[Column1]]&lt;=30,"18-30",IF(Table1[[#This Row],[Column1]]&lt;=50,"31-50","51+"))</f>
        <v>18-30</v>
      </c>
      <c r="AK661" t="str">
        <f>IF(Table1[[#This Row],[WorkLifeBalance]]=1,"Poor",IF(Table1[[#This Row],[WorkLifeBalance]]=2,"Fair",IF(Table1[[#This Row],[WorkLifeBalance]]=3,"Good","Excellent")))</f>
        <v>Good</v>
      </c>
    </row>
    <row r="662" spans="1:37" x14ac:dyDescent="0.3">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c r="AJ662" t="str">
        <f>IF(Table1[[#This Row],[Column1]]&lt;=30,"18-30",IF(Table1[[#This Row],[Column1]]&lt;=50,"31-50","51+"))</f>
        <v>51+</v>
      </c>
      <c r="AK662" t="str">
        <f>IF(Table1[[#This Row],[WorkLifeBalance]]=1,"Poor",IF(Table1[[#This Row],[WorkLifeBalance]]=2,"Fair",IF(Table1[[#This Row],[WorkLifeBalance]]=3,"Good","Excellent")))</f>
        <v>Fair</v>
      </c>
    </row>
    <row r="663" spans="1:37" x14ac:dyDescent="0.3">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c r="AJ663" t="str">
        <f>IF(Table1[[#This Row],[Column1]]&lt;=30,"18-30",IF(Table1[[#This Row],[Column1]]&lt;=50,"31-50","51+"))</f>
        <v>31-50</v>
      </c>
      <c r="AK663" t="str">
        <f>IF(Table1[[#This Row],[WorkLifeBalance]]=1,"Poor",IF(Table1[[#This Row],[WorkLifeBalance]]=2,"Fair",IF(Table1[[#This Row],[WorkLifeBalance]]=3,"Good","Excellent")))</f>
        <v>Excellent</v>
      </c>
    </row>
    <row r="664" spans="1:37" x14ac:dyDescent="0.3">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c r="AJ664" t="str">
        <f>IF(Table1[[#This Row],[Column1]]&lt;=30,"18-30",IF(Table1[[#This Row],[Column1]]&lt;=50,"31-50","51+"))</f>
        <v>18-30</v>
      </c>
      <c r="AK664" t="str">
        <f>IF(Table1[[#This Row],[WorkLifeBalance]]=1,"Poor",IF(Table1[[#This Row],[WorkLifeBalance]]=2,"Fair",IF(Table1[[#This Row],[WorkLifeBalance]]=3,"Good","Excellent")))</f>
        <v>Fair</v>
      </c>
    </row>
    <row r="665" spans="1:37" x14ac:dyDescent="0.3">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c r="AJ665" t="str">
        <f>IF(Table1[[#This Row],[Column1]]&lt;=30,"18-30",IF(Table1[[#This Row],[Column1]]&lt;=50,"31-50","51+"))</f>
        <v>18-30</v>
      </c>
      <c r="AK665" t="str">
        <f>IF(Table1[[#This Row],[WorkLifeBalance]]=1,"Poor",IF(Table1[[#This Row],[WorkLifeBalance]]=2,"Fair",IF(Table1[[#This Row],[WorkLifeBalance]]=3,"Good","Excellent")))</f>
        <v>Fair</v>
      </c>
    </row>
    <row r="666" spans="1:37" x14ac:dyDescent="0.3">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c r="AJ666" t="str">
        <f>IF(Table1[[#This Row],[Column1]]&lt;=30,"18-30",IF(Table1[[#This Row],[Column1]]&lt;=50,"31-50","51+"))</f>
        <v>31-50</v>
      </c>
      <c r="AK666" t="str">
        <f>IF(Table1[[#This Row],[WorkLifeBalance]]=1,"Poor",IF(Table1[[#This Row],[WorkLifeBalance]]=2,"Fair",IF(Table1[[#This Row],[WorkLifeBalance]]=3,"Good","Excellent")))</f>
        <v>Fair</v>
      </c>
    </row>
    <row r="667" spans="1:37" x14ac:dyDescent="0.3">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c r="AJ667" t="str">
        <f>IF(Table1[[#This Row],[Column1]]&lt;=30,"18-30",IF(Table1[[#This Row],[Column1]]&lt;=50,"31-50","51+"))</f>
        <v>31-50</v>
      </c>
      <c r="AK667" t="str">
        <f>IF(Table1[[#This Row],[WorkLifeBalance]]=1,"Poor",IF(Table1[[#This Row],[WorkLifeBalance]]=2,"Fair",IF(Table1[[#This Row],[WorkLifeBalance]]=3,"Good","Excellent")))</f>
        <v>Fair</v>
      </c>
    </row>
    <row r="668" spans="1:37" x14ac:dyDescent="0.3">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c r="AJ668" t="str">
        <f>IF(Table1[[#This Row],[Column1]]&lt;=30,"18-30",IF(Table1[[#This Row],[Column1]]&lt;=50,"31-50","51+"))</f>
        <v>18-30</v>
      </c>
      <c r="AK668" t="str">
        <f>IF(Table1[[#This Row],[WorkLifeBalance]]=1,"Poor",IF(Table1[[#This Row],[WorkLifeBalance]]=2,"Fair",IF(Table1[[#This Row],[WorkLifeBalance]]=3,"Good","Excellent")))</f>
        <v>Excellent</v>
      </c>
    </row>
    <row r="669" spans="1:37" x14ac:dyDescent="0.3">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c r="AJ669" t="str">
        <f>IF(Table1[[#This Row],[Column1]]&lt;=30,"18-30",IF(Table1[[#This Row],[Column1]]&lt;=50,"31-50","51+"))</f>
        <v>31-50</v>
      </c>
      <c r="AK669" t="str">
        <f>IF(Table1[[#This Row],[WorkLifeBalance]]=1,"Poor",IF(Table1[[#This Row],[WorkLifeBalance]]=2,"Fair",IF(Table1[[#This Row],[WorkLifeBalance]]=3,"Good","Excellent")))</f>
        <v>Fair</v>
      </c>
    </row>
    <row r="670" spans="1:37" x14ac:dyDescent="0.3">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c r="AJ670" t="str">
        <f>IF(Table1[[#This Row],[Column1]]&lt;=30,"18-30",IF(Table1[[#This Row],[Column1]]&lt;=50,"31-50","51+"))</f>
        <v>18-30</v>
      </c>
      <c r="AK670" t="str">
        <f>IF(Table1[[#This Row],[WorkLifeBalance]]=1,"Poor",IF(Table1[[#This Row],[WorkLifeBalance]]=2,"Fair",IF(Table1[[#This Row],[WorkLifeBalance]]=3,"Good","Excellent")))</f>
        <v>Good</v>
      </c>
    </row>
    <row r="671" spans="1:37" x14ac:dyDescent="0.3">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c r="AJ671" t="str">
        <f>IF(Table1[[#This Row],[Column1]]&lt;=30,"18-30",IF(Table1[[#This Row],[Column1]]&lt;=50,"31-50","51+"))</f>
        <v>31-50</v>
      </c>
      <c r="AK671" t="str">
        <f>IF(Table1[[#This Row],[WorkLifeBalance]]=1,"Poor",IF(Table1[[#This Row],[WorkLifeBalance]]=2,"Fair",IF(Table1[[#This Row],[WorkLifeBalance]]=3,"Good","Excellent")))</f>
        <v>Poor</v>
      </c>
    </row>
    <row r="672" spans="1:37" x14ac:dyDescent="0.3">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c r="AJ672" t="str">
        <f>IF(Table1[[#This Row],[Column1]]&lt;=30,"18-30",IF(Table1[[#This Row],[Column1]]&lt;=50,"31-50","51+"))</f>
        <v>18-30</v>
      </c>
      <c r="AK672" t="str">
        <f>IF(Table1[[#This Row],[WorkLifeBalance]]=1,"Poor",IF(Table1[[#This Row],[WorkLifeBalance]]=2,"Fair",IF(Table1[[#This Row],[WorkLifeBalance]]=3,"Good","Excellent")))</f>
        <v>Good</v>
      </c>
    </row>
    <row r="673" spans="1:37" x14ac:dyDescent="0.3">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c r="AJ673" t="str">
        <f>IF(Table1[[#This Row],[Column1]]&lt;=30,"18-30",IF(Table1[[#This Row],[Column1]]&lt;=50,"31-50","51+"))</f>
        <v>31-50</v>
      </c>
      <c r="AK673" t="str">
        <f>IF(Table1[[#This Row],[WorkLifeBalance]]=1,"Poor",IF(Table1[[#This Row],[WorkLifeBalance]]=2,"Fair",IF(Table1[[#This Row],[WorkLifeBalance]]=3,"Good","Excellent")))</f>
        <v>Good</v>
      </c>
    </row>
    <row r="674" spans="1:37" x14ac:dyDescent="0.3">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c r="AJ674" t="str">
        <f>IF(Table1[[#This Row],[Column1]]&lt;=30,"18-30",IF(Table1[[#This Row],[Column1]]&lt;=50,"31-50","51+"))</f>
        <v>31-50</v>
      </c>
      <c r="AK674" t="str">
        <f>IF(Table1[[#This Row],[WorkLifeBalance]]=1,"Poor",IF(Table1[[#This Row],[WorkLifeBalance]]=2,"Fair",IF(Table1[[#This Row],[WorkLifeBalance]]=3,"Good","Excellent")))</f>
        <v>Good</v>
      </c>
    </row>
    <row r="675" spans="1:37" x14ac:dyDescent="0.3">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c r="AJ675" t="str">
        <f>IF(Table1[[#This Row],[Column1]]&lt;=30,"18-30",IF(Table1[[#This Row],[Column1]]&lt;=50,"31-50","51+"))</f>
        <v>31-50</v>
      </c>
      <c r="AK675" t="str">
        <f>IF(Table1[[#This Row],[WorkLifeBalance]]=1,"Poor",IF(Table1[[#This Row],[WorkLifeBalance]]=2,"Fair",IF(Table1[[#This Row],[WorkLifeBalance]]=3,"Good","Excellent")))</f>
        <v>Good</v>
      </c>
    </row>
    <row r="676" spans="1:37" x14ac:dyDescent="0.3">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c r="AJ676" t="str">
        <f>IF(Table1[[#This Row],[Column1]]&lt;=30,"18-30",IF(Table1[[#This Row],[Column1]]&lt;=50,"31-50","51+"))</f>
        <v>51+</v>
      </c>
      <c r="AK676" t="str">
        <f>IF(Table1[[#This Row],[WorkLifeBalance]]=1,"Poor",IF(Table1[[#This Row],[WorkLifeBalance]]=2,"Fair",IF(Table1[[#This Row],[WorkLifeBalance]]=3,"Good","Excellent")))</f>
        <v>Good</v>
      </c>
    </row>
    <row r="677" spans="1:37" x14ac:dyDescent="0.3">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c r="AJ677" t="str">
        <f>IF(Table1[[#This Row],[Column1]]&lt;=30,"18-30",IF(Table1[[#This Row],[Column1]]&lt;=50,"31-50","51+"))</f>
        <v>31-50</v>
      </c>
      <c r="AK677" t="str">
        <f>IF(Table1[[#This Row],[WorkLifeBalance]]=1,"Poor",IF(Table1[[#This Row],[WorkLifeBalance]]=2,"Fair",IF(Table1[[#This Row],[WorkLifeBalance]]=3,"Good","Excellent")))</f>
        <v>Excellent</v>
      </c>
    </row>
    <row r="678" spans="1:37" x14ac:dyDescent="0.3">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c r="AJ678" t="str">
        <f>IF(Table1[[#This Row],[Column1]]&lt;=30,"18-30",IF(Table1[[#This Row],[Column1]]&lt;=50,"31-50","51+"))</f>
        <v>31-50</v>
      </c>
      <c r="AK678" t="str">
        <f>IF(Table1[[#This Row],[WorkLifeBalance]]=1,"Poor",IF(Table1[[#This Row],[WorkLifeBalance]]=2,"Fair",IF(Table1[[#This Row],[WorkLifeBalance]]=3,"Good","Excellent")))</f>
        <v>Poor</v>
      </c>
    </row>
    <row r="679" spans="1:37" x14ac:dyDescent="0.3">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c r="AJ679" t="str">
        <f>IF(Table1[[#This Row],[Column1]]&lt;=30,"18-30",IF(Table1[[#This Row],[Column1]]&lt;=50,"31-50","51+"))</f>
        <v>31-50</v>
      </c>
      <c r="AK679" t="str">
        <f>IF(Table1[[#This Row],[WorkLifeBalance]]=1,"Poor",IF(Table1[[#This Row],[WorkLifeBalance]]=2,"Fair",IF(Table1[[#This Row],[WorkLifeBalance]]=3,"Good","Excellent")))</f>
        <v>Fair</v>
      </c>
    </row>
    <row r="680" spans="1:37" x14ac:dyDescent="0.3">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c r="AJ680" t="str">
        <f>IF(Table1[[#This Row],[Column1]]&lt;=30,"18-30",IF(Table1[[#This Row],[Column1]]&lt;=50,"31-50","51+"))</f>
        <v>31-50</v>
      </c>
      <c r="AK680" t="str">
        <f>IF(Table1[[#This Row],[WorkLifeBalance]]=1,"Poor",IF(Table1[[#This Row],[WorkLifeBalance]]=2,"Fair",IF(Table1[[#This Row],[WorkLifeBalance]]=3,"Good","Excellent")))</f>
        <v>Fair</v>
      </c>
    </row>
    <row r="681" spans="1:37" x14ac:dyDescent="0.3">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c r="AJ681" t="str">
        <f>IF(Table1[[#This Row],[Column1]]&lt;=30,"18-30",IF(Table1[[#This Row],[Column1]]&lt;=50,"31-50","51+"))</f>
        <v>31-50</v>
      </c>
      <c r="AK681" t="str">
        <f>IF(Table1[[#This Row],[WorkLifeBalance]]=1,"Poor",IF(Table1[[#This Row],[WorkLifeBalance]]=2,"Fair",IF(Table1[[#This Row],[WorkLifeBalance]]=3,"Good","Excellent")))</f>
        <v>Fair</v>
      </c>
    </row>
    <row r="682" spans="1:37" x14ac:dyDescent="0.3">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c r="AJ682" t="str">
        <f>IF(Table1[[#This Row],[Column1]]&lt;=30,"18-30",IF(Table1[[#This Row],[Column1]]&lt;=50,"31-50","51+"))</f>
        <v>31-50</v>
      </c>
      <c r="AK682" t="str">
        <f>IF(Table1[[#This Row],[WorkLifeBalance]]=1,"Poor",IF(Table1[[#This Row],[WorkLifeBalance]]=2,"Fair",IF(Table1[[#This Row],[WorkLifeBalance]]=3,"Good","Excellent")))</f>
        <v>Good</v>
      </c>
    </row>
    <row r="683" spans="1:37" x14ac:dyDescent="0.3">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c r="AJ683" t="str">
        <f>IF(Table1[[#This Row],[Column1]]&lt;=30,"18-30",IF(Table1[[#This Row],[Column1]]&lt;=50,"31-50","51+"))</f>
        <v>31-50</v>
      </c>
      <c r="AK683" t="str">
        <f>IF(Table1[[#This Row],[WorkLifeBalance]]=1,"Poor",IF(Table1[[#This Row],[WorkLifeBalance]]=2,"Fair",IF(Table1[[#This Row],[WorkLifeBalance]]=3,"Good","Excellent")))</f>
        <v>Good</v>
      </c>
    </row>
    <row r="684" spans="1:37" x14ac:dyDescent="0.3">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c r="AJ684" t="str">
        <f>IF(Table1[[#This Row],[Column1]]&lt;=30,"18-30",IF(Table1[[#This Row],[Column1]]&lt;=50,"31-50","51+"))</f>
        <v>31-50</v>
      </c>
      <c r="AK684" t="str">
        <f>IF(Table1[[#This Row],[WorkLifeBalance]]=1,"Poor",IF(Table1[[#This Row],[WorkLifeBalance]]=2,"Fair",IF(Table1[[#This Row],[WorkLifeBalance]]=3,"Good","Excellent")))</f>
        <v>Good</v>
      </c>
    </row>
    <row r="685" spans="1:37" x14ac:dyDescent="0.3">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c r="AJ685" t="str">
        <f>IF(Table1[[#This Row],[Column1]]&lt;=30,"18-30",IF(Table1[[#This Row],[Column1]]&lt;=50,"31-50","51+"))</f>
        <v>18-30</v>
      </c>
      <c r="AK685" t="str">
        <f>IF(Table1[[#This Row],[WorkLifeBalance]]=1,"Poor",IF(Table1[[#This Row],[WorkLifeBalance]]=2,"Fair",IF(Table1[[#This Row],[WorkLifeBalance]]=3,"Good","Excellent")))</f>
        <v>Good</v>
      </c>
    </row>
    <row r="686" spans="1:37" x14ac:dyDescent="0.3">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c r="AJ686" t="str">
        <f>IF(Table1[[#This Row],[Column1]]&lt;=30,"18-30",IF(Table1[[#This Row],[Column1]]&lt;=50,"31-50","51+"))</f>
        <v>31-50</v>
      </c>
      <c r="AK686" t="str">
        <f>IF(Table1[[#This Row],[WorkLifeBalance]]=1,"Poor",IF(Table1[[#This Row],[WorkLifeBalance]]=2,"Fair",IF(Table1[[#This Row],[WorkLifeBalance]]=3,"Good","Excellent")))</f>
        <v>Fair</v>
      </c>
    </row>
    <row r="687" spans="1:37" x14ac:dyDescent="0.3">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c r="AJ687" t="str">
        <f>IF(Table1[[#This Row],[Column1]]&lt;=30,"18-30",IF(Table1[[#This Row],[Column1]]&lt;=50,"31-50","51+"))</f>
        <v>18-30</v>
      </c>
      <c r="AK687" t="str">
        <f>IF(Table1[[#This Row],[WorkLifeBalance]]=1,"Poor",IF(Table1[[#This Row],[WorkLifeBalance]]=2,"Fair",IF(Table1[[#This Row],[WorkLifeBalance]]=3,"Good","Excellent")))</f>
        <v>Good</v>
      </c>
    </row>
    <row r="688" spans="1:37" x14ac:dyDescent="0.3">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c r="AJ688" t="str">
        <f>IF(Table1[[#This Row],[Column1]]&lt;=30,"18-30",IF(Table1[[#This Row],[Column1]]&lt;=50,"31-50","51+"))</f>
        <v>31-50</v>
      </c>
      <c r="AK688" t="str">
        <f>IF(Table1[[#This Row],[WorkLifeBalance]]=1,"Poor",IF(Table1[[#This Row],[WorkLifeBalance]]=2,"Fair",IF(Table1[[#This Row],[WorkLifeBalance]]=3,"Good","Excellent")))</f>
        <v>Good</v>
      </c>
    </row>
    <row r="689" spans="1:37" x14ac:dyDescent="0.3">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c r="AJ689" t="str">
        <f>IF(Table1[[#This Row],[Column1]]&lt;=30,"18-30",IF(Table1[[#This Row],[Column1]]&lt;=50,"31-50","51+"))</f>
        <v>31-50</v>
      </c>
      <c r="AK689" t="str">
        <f>IF(Table1[[#This Row],[WorkLifeBalance]]=1,"Poor",IF(Table1[[#This Row],[WorkLifeBalance]]=2,"Fair",IF(Table1[[#This Row],[WorkLifeBalance]]=3,"Good","Excellent")))</f>
        <v>Good</v>
      </c>
    </row>
    <row r="690" spans="1:37" x14ac:dyDescent="0.3">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c r="AJ690" t="str">
        <f>IF(Table1[[#This Row],[Column1]]&lt;=30,"18-30",IF(Table1[[#This Row],[Column1]]&lt;=50,"31-50","51+"))</f>
        <v>18-30</v>
      </c>
      <c r="AK690" t="str">
        <f>IF(Table1[[#This Row],[WorkLifeBalance]]=1,"Poor",IF(Table1[[#This Row],[WorkLifeBalance]]=2,"Fair",IF(Table1[[#This Row],[WorkLifeBalance]]=3,"Good","Excellent")))</f>
        <v>Excellent</v>
      </c>
    </row>
    <row r="691" spans="1:37" x14ac:dyDescent="0.3">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c r="AJ691" t="str">
        <f>IF(Table1[[#This Row],[Column1]]&lt;=30,"18-30",IF(Table1[[#This Row],[Column1]]&lt;=50,"31-50","51+"))</f>
        <v>18-30</v>
      </c>
      <c r="AK691" t="str">
        <f>IF(Table1[[#This Row],[WorkLifeBalance]]=1,"Poor",IF(Table1[[#This Row],[WorkLifeBalance]]=2,"Fair",IF(Table1[[#This Row],[WorkLifeBalance]]=3,"Good","Excellent")))</f>
        <v>Good</v>
      </c>
    </row>
    <row r="692" spans="1:37" x14ac:dyDescent="0.3">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c r="AJ692" t="str">
        <f>IF(Table1[[#This Row],[Column1]]&lt;=30,"18-30",IF(Table1[[#This Row],[Column1]]&lt;=50,"31-50","51+"))</f>
        <v>31-50</v>
      </c>
      <c r="AK692" t="str">
        <f>IF(Table1[[#This Row],[WorkLifeBalance]]=1,"Poor",IF(Table1[[#This Row],[WorkLifeBalance]]=2,"Fair",IF(Table1[[#This Row],[WorkLifeBalance]]=3,"Good","Excellent")))</f>
        <v>Poor</v>
      </c>
    </row>
    <row r="693" spans="1:37" x14ac:dyDescent="0.3">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c r="AJ693" t="str">
        <f>IF(Table1[[#This Row],[Column1]]&lt;=30,"18-30",IF(Table1[[#This Row],[Column1]]&lt;=50,"31-50","51+"))</f>
        <v>31-50</v>
      </c>
      <c r="AK693" t="str">
        <f>IF(Table1[[#This Row],[WorkLifeBalance]]=1,"Poor",IF(Table1[[#This Row],[WorkLifeBalance]]=2,"Fair",IF(Table1[[#This Row],[WorkLifeBalance]]=3,"Good","Excellent")))</f>
        <v>Good</v>
      </c>
    </row>
    <row r="694" spans="1:37" x14ac:dyDescent="0.3">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c r="AJ694" t="str">
        <f>IF(Table1[[#This Row],[Column1]]&lt;=30,"18-30",IF(Table1[[#This Row],[Column1]]&lt;=50,"31-50","51+"))</f>
        <v>31-50</v>
      </c>
      <c r="AK694" t="str">
        <f>IF(Table1[[#This Row],[WorkLifeBalance]]=1,"Poor",IF(Table1[[#This Row],[WorkLifeBalance]]=2,"Fair",IF(Table1[[#This Row],[WorkLifeBalance]]=3,"Good","Excellent")))</f>
        <v>Excellent</v>
      </c>
    </row>
    <row r="695" spans="1:37" x14ac:dyDescent="0.3">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c r="AJ695" t="str">
        <f>IF(Table1[[#This Row],[Column1]]&lt;=30,"18-30",IF(Table1[[#This Row],[Column1]]&lt;=50,"31-50","51+"))</f>
        <v>31-50</v>
      </c>
      <c r="AK695" t="str">
        <f>IF(Table1[[#This Row],[WorkLifeBalance]]=1,"Poor",IF(Table1[[#This Row],[WorkLifeBalance]]=2,"Fair",IF(Table1[[#This Row],[WorkLifeBalance]]=3,"Good","Excellent")))</f>
        <v>Good</v>
      </c>
    </row>
    <row r="696" spans="1:37" x14ac:dyDescent="0.3">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c r="AJ696" t="str">
        <f>IF(Table1[[#This Row],[Column1]]&lt;=30,"18-30",IF(Table1[[#This Row],[Column1]]&lt;=50,"31-50","51+"))</f>
        <v>31-50</v>
      </c>
      <c r="AK696" t="str">
        <f>IF(Table1[[#This Row],[WorkLifeBalance]]=1,"Poor",IF(Table1[[#This Row],[WorkLifeBalance]]=2,"Fair",IF(Table1[[#This Row],[WorkLifeBalance]]=3,"Good","Excellent")))</f>
        <v>Good</v>
      </c>
    </row>
    <row r="697" spans="1:37" x14ac:dyDescent="0.3">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c r="AJ697" t="str">
        <f>IF(Table1[[#This Row],[Column1]]&lt;=30,"18-30",IF(Table1[[#This Row],[Column1]]&lt;=50,"31-50","51+"))</f>
        <v>31-50</v>
      </c>
      <c r="AK697" t="str">
        <f>IF(Table1[[#This Row],[WorkLifeBalance]]=1,"Poor",IF(Table1[[#This Row],[WorkLifeBalance]]=2,"Fair",IF(Table1[[#This Row],[WorkLifeBalance]]=3,"Good","Excellent")))</f>
        <v>Poor</v>
      </c>
    </row>
    <row r="698" spans="1:37" x14ac:dyDescent="0.3">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c r="AJ698" t="str">
        <f>IF(Table1[[#This Row],[Column1]]&lt;=30,"18-30",IF(Table1[[#This Row],[Column1]]&lt;=50,"31-50","51+"))</f>
        <v>31-50</v>
      </c>
      <c r="AK698" t="str">
        <f>IF(Table1[[#This Row],[WorkLifeBalance]]=1,"Poor",IF(Table1[[#This Row],[WorkLifeBalance]]=2,"Fair",IF(Table1[[#This Row],[WorkLifeBalance]]=3,"Good","Excellent")))</f>
        <v>Fair</v>
      </c>
    </row>
    <row r="699" spans="1:37" x14ac:dyDescent="0.3">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c r="AJ699" t="str">
        <f>IF(Table1[[#This Row],[Column1]]&lt;=30,"18-30",IF(Table1[[#This Row],[Column1]]&lt;=50,"31-50","51+"))</f>
        <v>18-30</v>
      </c>
      <c r="AK699" t="str">
        <f>IF(Table1[[#This Row],[WorkLifeBalance]]=1,"Poor",IF(Table1[[#This Row],[WorkLifeBalance]]=2,"Fair",IF(Table1[[#This Row],[WorkLifeBalance]]=3,"Good","Excellent")))</f>
        <v>Good</v>
      </c>
    </row>
    <row r="700" spans="1:37" x14ac:dyDescent="0.3">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c r="AJ700" t="str">
        <f>IF(Table1[[#This Row],[Column1]]&lt;=30,"18-30",IF(Table1[[#This Row],[Column1]]&lt;=50,"31-50","51+"))</f>
        <v>31-50</v>
      </c>
      <c r="AK700" t="str">
        <f>IF(Table1[[#This Row],[WorkLifeBalance]]=1,"Poor",IF(Table1[[#This Row],[WorkLifeBalance]]=2,"Fair",IF(Table1[[#This Row],[WorkLifeBalance]]=3,"Good","Excellent")))</f>
        <v>Good</v>
      </c>
    </row>
    <row r="701" spans="1:37" x14ac:dyDescent="0.3">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c r="AJ701" t="str">
        <f>IF(Table1[[#This Row],[Column1]]&lt;=30,"18-30",IF(Table1[[#This Row],[Column1]]&lt;=50,"31-50","51+"))</f>
        <v>51+</v>
      </c>
      <c r="AK701" t="str">
        <f>IF(Table1[[#This Row],[WorkLifeBalance]]=1,"Poor",IF(Table1[[#This Row],[WorkLifeBalance]]=2,"Fair",IF(Table1[[#This Row],[WorkLifeBalance]]=3,"Good","Excellent")))</f>
        <v>Fair</v>
      </c>
    </row>
    <row r="702" spans="1:37" x14ac:dyDescent="0.3">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c r="AJ702" t="str">
        <f>IF(Table1[[#This Row],[Column1]]&lt;=30,"18-30",IF(Table1[[#This Row],[Column1]]&lt;=50,"31-50","51+"))</f>
        <v>51+</v>
      </c>
      <c r="AK702" t="str">
        <f>IF(Table1[[#This Row],[WorkLifeBalance]]=1,"Poor",IF(Table1[[#This Row],[WorkLifeBalance]]=2,"Fair",IF(Table1[[#This Row],[WorkLifeBalance]]=3,"Good","Excellent")))</f>
        <v>Good</v>
      </c>
    </row>
    <row r="703" spans="1:37" x14ac:dyDescent="0.3">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c r="AJ703" t="str">
        <f>IF(Table1[[#This Row],[Column1]]&lt;=30,"18-30",IF(Table1[[#This Row],[Column1]]&lt;=50,"31-50","51+"))</f>
        <v>51+</v>
      </c>
      <c r="AK703" t="str">
        <f>IF(Table1[[#This Row],[WorkLifeBalance]]=1,"Poor",IF(Table1[[#This Row],[WorkLifeBalance]]=2,"Fair",IF(Table1[[#This Row],[WorkLifeBalance]]=3,"Good","Excellent")))</f>
        <v>Excellent</v>
      </c>
    </row>
    <row r="704" spans="1:37" x14ac:dyDescent="0.3">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c r="AJ704" t="str">
        <f>IF(Table1[[#This Row],[Column1]]&lt;=30,"18-30",IF(Table1[[#This Row],[Column1]]&lt;=50,"31-50","51+"))</f>
        <v>18-30</v>
      </c>
      <c r="AK704" t="str">
        <f>IF(Table1[[#This Row],[WorkLifeBalance]]=1,"Poor",IF(Table1[[#This Row],[WorkLifeBalance]]=2,"Fair",IF(Table1[[#This Row],[WorkLifeBalance]]=3,"Good","Excellent")))</f>
        <v>Excellent</v>
      </c>
    </row>
    <row r="705" spans="1:37" x14ac:dyDescent="0.3">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c r="AJ705" t="str">
        <f>IF(Table1[[#This Row],[Column1]]&lt;=30,"18-30",IF(Table1[[#This Row],[Column1]]&lt;=50,"31-50","51+"))</f>
        <v>31-50</v>
      </c>
      <c r="AK705" t="str">
        <f>IF(Table1[[#This Row],[WorkLifeBalance]]=1,"Poor",IF(Table1[[#This Row],[WorkLifeBalance]]=2,"Fair",IF(Table1[[#This Row],[WorkLifeBalance]]=3,"Good","Excellent")))</f>
        <v>Good</v>
      </c>
    </row>
    <row r="706" spans="1:37" x14ac:dyDescent="0.3">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c r="AJ706" t="str">
        <f>IF(Table1[[#This Row],[Column1]]&lt;=30,"18-30",IF(Table1[[#This Row],[Column1]]&lt;=50,"31-50","51+"))</f>
        <v>31-50</v>
      </c>
      <c r="AK706" t="str">
        <f>IF(Table1[[#This Row],[WorkLifeBalance]]=1,"Poor",IF(Table1[[#This Row],[WorkLifeBalance]]=2,"Fair",IF(Table1[[#This Row],[WorkLifeBalance]]=3,"Good","Excellent")))</f>
        <v>Good</v>
      </c>
    </row>
    <row r="707" spans="1:37" x14ac:dyDescent="0.3">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c r="AJ707" t="str">
        <f>IF(Table1[[#This Row],[Column1]]&lt;=30,"18-30",IF(Table1[[#This Row],[Column1]]&lt;=50,"31-50","51+"))</f>
        <v>31-50</v>
      </c>
      <c r="AK707" t="str">
        <f>IF(Table1[[#This Row],[WorkLifeBalance]]=1,"Poor",IF(Table1[[#This Row],[WorkLifeBalance]]=2,"Fair",IF(Table1[[#This Row],[WorkLifeBalance]]=3,"Good","Excellent")))</f>
        <v>Good</v>
      </c>
    </row>
    <row r="708" spans="1:37" x14ac:dyDescent="0.3">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c r="AJ708" t="str">
        <f>IF(Table1[[#This Row],[Column1]]&lt;=30,"18-30",IF(Table1[[#This Row],[Column1]]&lt;=50,"31-50","51+"))</f>
        <v>31-50</v>
      </c>
      <c r="AK708" t="str">
        <f>IF(Table1[[#This Row],[WorkLifeBalance]]=1,"Poor",IF(Table1[[#This Row],[WorkLifeBalance]]=2,"Fair",IF(Table1[[#This Row],[WorkLifeBalance]]=3,"Good","Excellent")))</f>
        <v>Fair</v>
      </c>
    </row>
    <row r="709" spans="1:37" x14ac:dyDescent="0.3">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c r="AJ709" t="str">
        <f>IF(Table1[[#This Row],[Column1]]&lt;=30,"18-30",IF(Table1[[#This Row],[Column1]]&lt;=50,"31-50","51+"))</f>
        <v>31-50</v>
      </c>
      <c r="AK709" t="str">
        <f>IF(Table1[[#This Row],[WorkLifeBalance]]=1,"Poor",IF(Table1[[#This Row],[WorkLifeBalance]]=2,"Fair",IF(Table1[[#This Row],[WorkLifeBalance]]=3,"Good","Excellent")))</f>
        <v>Excellent</v>
      </c>
    </row>
    <row r="710" spans="1:37" x14ac:dyDescent="0.3">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c r="AJ710" t="str">
        <f>IF(Table1[[#This Row],[Column1]]&lt;=30,"18-30",IF(Table1[[#This Row],[Column1]]&lt;=50,"31-50","51+"))</f>
        <v>31-50</v>
      </c>
      <c r="AK710" t="str">
        <f>IF(Table1[[#This Row],[WorkLifeBalance]]=1,"Poor",IF(Table1[[#This Row],[WorkLifeBalance]]=2,"Fair",IF(Table1[[#This Row],[WorkLifeBalance]]=3,"Good","Excellent")))</f>
        <v>Good</v>
      </c>
    </row>
    <row r="711" spans="1:37" x14ac:dyDescent="0.3">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c r="AJ711" t="str">
        <f>IF(Table1[[#This Row],[Column1]]&lt;=30,"18-30",IF(Table1[[#This Row],[Column1]]&lt;=50,"31-50","51+"))</f>
        <v>31-50</v>
      </c>
      <c r="AK711" t="str">
        <f>IF(Table1[[#This Row],[WorkLifeBalance]]=1,"Poor",IF(Table1[[#This Row],[WorkLifeBalance]]=2,"Fair",IF(Table1[[#This Row],[WorkLifeBalance]]=3,"Good","Excellent")))</f>
        <v>Good</v>
      </c>
    </row>
    <row r="712" spans="1:37" x14ac:dyDescent="0.3">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c r="AJ712" t="str">
        <f>IF(Table1[[#This Row],[Column1]]&lt;=30,"18-30",IF(Table1[[#This Row],[Column1]]&lt;=50,"31-50","51+"))</f>
        <v>31-50</v>
      </c>
      <c r="AK712" t="str">
        <f>IF(Table1[[#This Row],[WorkLifeBalance]]=1,"Poor",IF(Table1[[#This Row],[WorkLifeBalance]]=2,"Fair",IF(Table1[[#This Row],[WorkLifeBalance]]=3,"Good","Excellent")))</f>
        <v>Good</v>
      </c>
    </row>
    <row r="713" spans="1:37" x14ac:dyDescent="0.3">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c r="AJ713" t="str">
        <f>IF(Table1[[#This Row],[Column1]]&lt;=30,"18-30",IF(Table1[[#This Row],[Column1]]&lt;=50,"31-50","51+"))</f>
        <v>18-30</v>
      </c>
      <c r="AK713" t="str">
        <f>IF(Table1[[#This Row],[WorkLifeBalance]]=1,"Poor",IF(Table1[[#This Row],[WorkLifeBalance]]=2,"Fair",IF(Table1[[#This Row],[WorkLifeBalance]]=3,"Good","Excellent")))</f>
        <v>Good</v>
      </c>
    </row>
    <row r="714" spans="1:37" x14ac:dyDescent="0.3">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c r="AJ714" t="str">
        <f>IF(Table1[[#This Row],[Column1]]&lt;=30,"18-30",IF(Table1[[#This Row],[Column1]]&lt;=50,"31-50","51+"))</f>
        <v>31-50</v>
      </c>
      <c r="AK714" t="str">
        <f>IF(Table1[[#This Row],[WorkLifeBalance]]=1,"Poor",IF(Table1[[#This Row],[WorkLifeBalance]]=2,"Fair",IF(Table1[[#This Row],[WorkLifeBalance]]=3,"Good","Excellent")))</f>
        <v>Good</v>
      </c>
    </row>
    <row r="715" spans="1:37" x14ac:dyDescent="0.3">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c r="AJ715" t="str">
        <f>IF(Table1[[#This Row],[Column1]]&lt;=30,"18-30",IF(Table1[[#This Row],[Column1]]&lt;=50,"31-50","51+"))</f>
        <v>31-50</v>
      </c>
      <c r="AK715" t="str">
        <f>IF(Table1[[#This Row],[WorkLifeBalance]]=1,"Poor",IF(Table1[[#This Row],[WorkLifeBalance]]=2,"Fair",IF(Table1[[#This Row],[WorkLifeBalance]]=3,"Good","Excellent")))</f>
        <v>Good</v>
      </c>
    </row>
    <row r="716" spans="1:37" x14ac:dyDescent="0.3">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c r="AJ716" t="str">
        <f>IF(Table1[[#This Row],[Column1]]&lt;=30,"18-30",IF(Table1[[#This Row],[Column1]]&lt;=50,"31-50","51+"))</f>
        <v>31-50</v>
      </c>
      <c r="AK716" t="str">
        <f>IF(Table1[[#This Row],[WorkLifeBalance]]=1,"Poor",IF(Table1[[#This Row],[WorkLifeBalance]]=2,"Fair",IF(Table1[[#This Row],[WorkLifeBalance]]=3,"Good","Excellent")))</f>
        <v>Fair</v>
      </c>
    </row>
    <row r="717" spans="1:37" x14ac:dyDescent="0.3">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c r="AJ717" t="str">
        <f>IF(Table1[[#This Row],[Column1]]&lt;=30,"18-30",IF(Table1[[#This Row],[Column1]]&lt;=50,"31-50","51+"))</f>
        <v>31-50</v>
      </c>
      <c r="AK717" t="str">
        <f>IF(Table1[[#This Row],[WorkLifeBalance]]=1,"Poor",IF(Table1[[#This Row],[WorkLifeBalance]]=2,"Fair",IF(Table1[[#This Row],[WorkLifeBalance]]=3,"Good","Excellent")))</f>
        <v>Good</v>
      </c>
    </row>
    <row r="718" spans="1:37" x14ac:dyDescent="0.3">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c r="AJ718" t="str">
        <f>IF(Table1[[#This Row],[Column1]]&lt;=30,"18-30",IF(Table1[[#This Row],[Column1]]&lt;=50,"31-50","51+"))</f>
        <v>31-50</v>
      </c>
      <c r="AK718" t="str">
        <f>IF(Table1[[#This Row],[WorkLifeBalance]]=1,"Poor",IF(Table1[[#This Row],[WorkLifeBalance]]=2,"Fair",IF(Table1[[#This Row],[WorkLifeBalance]]=3,"Good","Excellent")))</f>
        <v>Excellent</v>
      </c>
    </row>
    <row r="719" spans="1:37" x14ac:dyDescent="0.3">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c r="AJ719" t="str">
        <f>IF(Table1[[#This Row],[Column1]]&lt;=30,"18-30",IF(Table1[[#This Row],[Column1]]&lt;=50,"31-50","51+"))</f>
        <v>18-30</v>
      </c>
      <c r="AK719" t="str">
        <f>IF(Table1[[#This Row],[WorkLifeBalance]]=1,"Poor",IF(Table1[[#This Row],[WorkLifeBalance]]=2,"Fair",IF(Table1[[#This Row],[WorkLifeBalance]]=3,"Good","Excellent")))</f>
        <v>Good</v>
      </c>
    </row>
    <row r="720" spans="1:37" x14ac:dyDescent="0.3">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c r="AJ720" t="str">
        <f>IF(Table1[[#This Row],[Column1]]&lt;=30,"18-30",IF(Table1[[#This Row],[Column1]]&lt;=50,"31-50","51+"))</f>
        <v>31-50</v>
      </c>
      <c r="AK720" t="str">
        <f>IF(Table1[[#This Row],[WorkLifeBalance]]=1,"Poor",IF(Table1[[#This Row],[WorkLifeBalance]]=2,"Fair",IF(Table1[[#This Row],[WorkLifeBalance]]=3,"Good","Excellent")))</f>
        <v>Good</v>
      </c>
    </row>
    <row r="721" spans="1:37" x14ac:dyDescent="0.3">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c r="AJ721" t="str">
        <f>IF(Table1[[#This Row],[Column1]]&lt;=30,"18-30",IF(Table1[[#This Row],[Column1]]&lt;=50,"31-50","51+"))</f>
        <v>31-50</v>
      </c>
      <c r="AK721" t="str">
        <f>IF(Table1[[#This Row],[WorkLifeBalance]]=1,"Poor",IF(Table1[[#This Row],[WorkLifeBalance]]=2,"Fair",IF(Table1[[#This Row],[WorkLifeBalance]]=3,"Good","Excellent")))</f>
        <v>Good</v>
      </c>
    </row>
    <row r="722" spans="1:37" x14ac:dyDescent="0.3">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c r="AJ722" t="str">
        <f>IF(Table1[[#This Row],[Column1]]&lt;=30,"18-30",IF(Table1[[#This Row],[Column1]]&lt;=50,"31-50","51+"))</f>
        <v>18-30</v>
      </c>
      <c r="AK722" t="str">
        <f>IF(Table1[[#This Row],[WorkLifeBalance]]=1,"Poor",IF(Table1[[#This Row],[WorkLifeBalance]]=2,"Fair",IF(Table1[[#This Row],[WorkLifeBalance]]=3,"Good","Excellent")))</f>
        <v>Good</v>
      </c>
    </row>
    <row r="723" spans="1:37" x14ac:dyDescent="0.3">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c r="AJ723" t="str">
        <f>IF(Table1[[#This Row],[Column1]]&lt;=30,"18-30",IF(Table1[[#This Row],[Column1]]&lt;=50,"31-50","51+"))</f>
        <v>31-50</v>
      </c>
      <c r="AK723" t="str">
        <f>IF(Table1[[#This Row],[WorkLifeBalance]]=1,"Poor",IF(Table1[[#This Row],[WorkLifeBalance]]=2,"Fair",IF(Table1[[#This Row],[WorkLifeBalance]]=3,"Good","Excellent")))</f>
        <v>Good</v>
      </c>
    </row>
    <row r="724" spans="1:37" x14ac:dyDescent="0.3">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c r="AJ724" t="str">
        <f>IF(Table1[[#This Row],[Column1]]&lt;=30,"18-30",IF(Table1[[#This Row],[Column1]]&lt;=50,"31-50","51+"))</f>
        <v>31-50</v>
      </c>
      <c r="AK724" t="str">
        <f>IF(Table1[[#This Row],[WorkLifeBalance]]=1,"Poor",IF(Table1[[#This Row],[WorkLifeBalance]]=2,"Fair",IF(Table1[[#This Row],[WorkLifeBalance]]=3,"Good","Excellent")))</f>
        <v>Fair</v>
      </c>
    </row>
    <row r="725" spans="1:37" x14ac:dyDescent="0.3">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c r="AJ725" t="str">
        <f>IF(Table1[[#This Row],[Column1]]&lt;=30,"18-30",IF(Table1[[#This Row],[Column1]]&lt;=50,"31-50","51+"))</f>
        <v>31-50</v>
      </c>
      <c r="AK725" t="str">
        <f>IF(Table1[[#This Row],[WorkLifeBalance]]=1,"Poor",IF(Table1[[#This Row],[WorkLifeBalance]]=2,"Fair",IF(Table1[[#This Row],[WorkLifeBalance]]=3,"Good","Excellent")))</f>
        <v>Good</v>
      </c>
    </row>
    <row r="726" spans="1:37" x14ac:dyDescent="0.3">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c r="AJ726" t="str">
        <f>IF(Table1[[#This Row],[Column1]]&lt;=30,"18-30",IF(Table1[[#This Row],[Column1]]&lt;=50,"31-50","51+"))</f>
        <v>18-30</v>
      </c>
      <c r="AK726" t="str">
        <f>IF(Table1[[#This Row],[WorkLifeBalance]]=1,"Poor",IF(Table1[[#This Row],[WorkLifeBalance]]=2,"Fair",IF(Table1[[#This Row],[WorkLifeBalance]]=3,"Good","Excellent")))</f>
        <v>Good</v>
      </c>
    </row>
    <row r="727" spans="1:37" x14ac:dyDescent="0.3">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c r="AJ727" t="str">
        <f>IF(Table1[[#This Row],[Column1]]&lt;=30,"18-30",IF(Table1[[#This Row],[Column1]]&lt;=50,"31-50","51+"))</f>
        <v>31-50</v>
      </c>
      <c r="AK727" t="str">
        <f>IF(Table1[[#This Row],[WorkLifeBalance]]=1,"Poor",IF(Table1[[#This Row],[WorkLifeBalance]]=2,"Fair",IF(Table1[[#This Row],[WorkLifeBalance]]=3,"Good","Excellent")))</f>
        <v>Poor</v>
      </c>
    </row>
    <row r="728" spans="1:37" x14ac:dyDescent="0.3">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c r="AJ728" t="str">
        <f>IF(Table1[[#This Row],[Column1]]&lt;=30,"18-30",IF(Table1[[#This Row],[Column1]]&lt;=50,"31-50","51+"))</f>
        <v>31-50</v>
      </c>
      <c r="AK728" t="str">
        <f>IF(Table1[[#This Row],[WorkLifeBalance]]=1,"Poor",IF(Table1[[#This Row],[WorkLifeBalance]]=2,"Fair",IF(Table1[[#This Row],[WorkLifeBalance]]=3,"Good","Excellent")))</f>
        <v>Good</v>
      </c>
    </row>
    <row r="729" spans="1:37" x14ac:dyDescent="0.3">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c r="AJ729" t="str">
        <f>IF(Table1[[#This Row],[Column1]]&lt;=30,"18-30",IF(Table1[[#This Row],[Column1]]&lt;=50,"31-50","51+"))</f>
        <v>18-30</v>
      </c>
      <c r="AK729" t="str">
        <f>IF(Table1[[#This Row],[WorkLifeBalance]]=1,"Poor",IF(Table1[[#This Row],[WorkLifeBalance]]=2,"Fair",IF(Table1[[#This Row],[WorkLifeBalance]]=3,"Good","Excellent")))</f>
        <v>Good</v>
      </c>
    </row>
    <row r="730" spans="1:37" x14ac:dyDescent="0.3">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c r="AJ730" t="str">
        <f>IF(Table1[[#This Row],[Column1]]&lt;=30,"18-30",IF(Table1[[#This Row],[Column1]]&lt;=50,"31-50","51+"))</f>
        <v>51+</v>
      </c>
      <c r="AK730" t="str">
        <f>IF(Table1[[#This Row],[WorkLifeBalance]]=1,"Poor",IF(Table1[[#This Row],[WorkLifeBalance]]=2,"Fair",IF(Table1[[#This Row],[WorkLifeBalance]]=3,"Good","Excellent")))</f>
        <v>Good</v>
      </c>
    </row>
    <row r="731" spans="1:37" x14ac:dyDescent="0.3">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c r="AJ731" t="str">
        <f>IF(Table1[[#This Row],[Column1]]&lt;=30,"18-30",IF(Table1[[#This Row],[Column1]]&lt;=50,"31-50","51+"))</f>
        <v>31-50</v>
      </c>
      <c r="AK731" t="str">
        <f>IF(Table1[[#This Row],[WorkLifeBalance]]=1,"Poor",IF(Table1[[#This Row],[WorkLifeBalance]]=2,"Fair",IF(Table1[[#This Row],[WorkLifeBalance]]=3,"Good","Excellent")))</f>
        <v>Fair</v>
      </c>
    </row>
    <row r="732" spans="1:37" x14ac:dyDescent="0.3">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c r="AJ732" t="str">
        <f>IF(Table1[[#This Row],[Column1]]&lt;=30,"18-30",IF(Table1[[#This Row],[Column1]]&lt;=50,"31-50","51+"))</f>
        <v>18-30</v>
      </c>
      <c r="AK732" t="str">
        <f>IF(Table1[[#This Row],[WorkLifeBalance]]=1,"Poor",IF(Table1[[#This Row],[WorkLifeBalance]]=2,"Fair",IF(Table1[[#This Row],[WorkLifeBalance]]=3,"Good","Excellent")))</f>
        <v>Fair</v>
      </c>
    </row>
    <row r="733" spans="1:37" x14ac:dyDescent="0.3">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c r="AJ733" t="str">
        <f>IF(Table1[[#This Row],[Column1]]&lt;=30,"18-30",IF(Table1[[#This Row],[Column1]]&lt;=50,"31-50","51+"))</f>
        <v>18-30</v>
      </c>
      <c r="AK733" t="str">
        <f>IF(Table1[[#This Row],[WorkLifeBalance]]=1,"Poor",IF(Table1[[#This Row],[WorkLifeBalance]]=2,"Fair",IF(Table1[[#This Row],[WorkLifeBalance]]=3,"Good","Excellent")))</f>
        <v>Good</v>
      </c>
    </row>
    <row r="734" spans="1:37" x14ac:dyDescent="0.3">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c r="AJ734" t="str">
        <f>IF(Table1[[#This Row],[Column1]]&lt;=30,"18-30",IF(Table1[[#This Row],[Column1]]&lt;=50,"31-50","51+"))</f>
        <v>18-30</v>
      </c>
      <c r="AK734" t="str">
        <f>IF(Table1[[#This Row],[WorkLifeBalance]]=1,"Poor",IF(Table1[[#This Row],[WorkLifeBalance]]=2,"Fair",IF(Table1[[#This Row],[WorkLifeBalance]]=3,"Good","Excellent")))</f>
        <v>Good</v>
      </c>
    </row>
    <row r="735" spans="1:37" x14ac:dyDescent="0.3">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c r="AJ735" t="str">
        <f>IF(Table1[[#This Row],[Column1]]&lt;=30,"18-30",IF(Table1[[#This Row],[Column1]]&lt;=50,"31-50","51+"))</f>
        <v>18-30</v>
      </c>
      <c r="AK735" t="str">
        <f>IF(Table1[[#This Row],[WorkLifeBalance]]=1,"Poor",IF(Table1[[#This Row],[WorkLifeBalance]]=2,"Fair",IF(Table1[[#This Row],[WorkLifeBalance]]=3,"Good","Excellent")))</f>
        <v>Good</v>
      </c>
    </row>
    <row r="736" spans="1:37" x14ac:dyDescent="0.3">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c r="AJ736" t="str">
        <f>IF(Table1[[#This Row],[Column1]]&lt;=30,"18-30",IF(Table1[[#This Row],[Column1]]&lt;=50,"31-50","51+"))</f>
        <v>18-30</v>
      </c>
      <c r="AK736" t="str">
        <f>IF(Table1[[#This Row],[WorkLifeBalance]]=1,"Poor",IF(Table1[[#This Row],[WorkLifeBalance]]=2,"Fair",IF(Table1[[#This Row],[WorkLifeBalance]]=3,"Good","Excellent")))</f>
        <v>Fair</v>
      </c>
    </row>
    <row r="737" spans="1:37" x14ac:dyDescent="0.3">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c r="AJ737" t="str">
        <f>IF(Table1[[#This Row],[Column1]]&lt;=30,"18-30",IF(Table1[[#This Row],[Column1]]&lt;=50,"31-50","51+"))</f>
        <v>31-50</v>
      </c>
      <c r="AK737" t="str">
        <f>IF(Table1[[#This Row],[WorkLifeBalance]]=1,"Poor",IF(Table1[[#This Row],[WorkLifeBalance]]=2,"Fair",IF(Table1[[#This Row],[WorkLifeBalance]]=3,"Good","Excellent")))</f>
        <v>Good</v>
      </c>
    </row>
    <row r="738" spans="1:37" x14ac:dyDescent="0.3">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c r="AJ738" t="str">
        <f>IF(Table1[[#This Row],[Column1]]&lt;=30,"18-30",IF(Table1[[#This Row],[Column1]]&lt;=50,"31-50","51+"))</f>
        <v>31-50</v>
      </c>
      <c r="AK738" t="str">
        <f>IF(Table1[[#This Row],[WorkLifeBalance]]=1,"Poor",IF(Table1[[#This Row],[WorkLifeBalance]]=2,"Fair",IF(Table1[[#This Row],[WorkLifeBalance]]=3,"Good","Excellent")))</f>
        <v>Good</v>
      </c>
    </row>
    <row r="739" spans="1:37" x14ac:dyDescent="0.3">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c r="AJ739" t="str">
        <f>IF(Table1[[#This Row],[Column1]]&lt;=30,"18-30",IF(Table1[[#This Row],[Column1]]&lt;=50,"31-50","51+"))</f>
        <v>31-50</v>
      </c>
      <c r="AK739" t="str">
        <f>IF(Table1[[#This Row],[WorkLifeBalance]]=1,"Poor",IF(Table1[[#This Row],[WorkLifeBalance]]=2,"Fair",IF(Table1[[#This Row],[WorkLifeBalance]]=3,"Good","Excellent")))</f>
        <v>Good</v>
      </c>
    </row>
    <row r="740" spans="1:37" x14ac:dyDescent="0.3">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c r="AJ740" t="str">
        <f>IF(Table1[[#This Row],[Column1]]&lt;=30,"18-30",IF(Table1[[#This Row],[Column1]]&lt;=50,"31-50","51+"))</f>
        <v>31-50</v>
      </c>
      <c r="AK740" t="str">
        <f>IF(Table1[[#This Row],[WorkLifeBalance]]=1,"Poor",IF(Table1[[#This Row],[WorkLifeBalance]]=2,"Fair",IF(Table1[[#This Row],[WorkLifeBalance]]=3,"Good","Excellent")))</f>
        <v>Good</v>
      </c>
    </row>
    <row r="741" spans="1:37" x14ac:dyDescent="0.3">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c r="AJ741" t="str">
        <f>IF(Table1[[#This Row],[Column1]]&lt;=30,"18-30",IF(Table1[[#This Row],[Column1]]&lt;=50,"31-50","51+"))</f>
        <v>18-30</v>
      </c>
      <c r="AK741" t="str">
        <f>IF(Table1[[#This Row],[WorkLifeBalance]]=1,"Poor",IF(Table1[[#This Row],[WorkLifeBalance]]=2,"Fair",IF(Table1[[#This Row],[WorkLifeBalance]]=3,"Good","Excellent")))</f>
        <v>Good</v>
      </c>
    </row>
    <row r="742" spans="1:37" x14ac:dyDescent="0.3">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c r="AJ742" t="str">
        <f>IF(Table1[[#This Row],[Column1]]&lt;=30,"18-30",IF(Table1[[#This Row],[Column1]]&lt;=50,"31-50","51+"))</f>
        <v>31-50</v>
      </c>
      <c r="AK742" t="str">
        <f>IF(Table1[[#This Row],[WorkLifeBalance]]=1,"Poor",IF(Table1[[#This Row],[WorkLifeBalance]]=2,"Fair",IF(Table1[[#This Row],[WorkLifeBalance]]=3,"Good","Excellent")))</f>
        <v>Fair</v>
      </c>
    </row>
    <row r="743" spans="1:37" x14ac:dyDescent="0.3">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c r="AJ743" t="str">
        <f>IF(Table1[[#This Row],[Column1]]&lt;=30,"18-30",IF(Table1[[#This Row],[Column1]]&lt;=50,"31-50","51+"))</f>
        <v>31-50</v>
      </c>
      <c r="AK743" t="str">
        <f>IF(Table1[[#This Row],[WorkLifeBalance]]=1,"Poor",IF(Table1[[#This Row],[WorkLifeBalance]]=2,"Fair",IF(Table1[[#This Row],[WorkLifeBalance]]=3,"Good","Excellent")))</f>
        <v>Excellent</v>
      </c>
    </row>
    <row r="744" spans="1:37" x14ac:dyDescent="0.3">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c r="AJ744" t="str">
        <f>IF(Table1[[#This Row],[Column1]]&lt;=30,"18-30",IF(Table1[[#This Row],[Column1]]&lt;=50,"31-50","51+"))</f>
        <v>31-50</v>
      </c>
      <c r="AK744" t="str">
        <f>IF(Table1[[#This Row],[WorkLifeBalance]]=1,"Poor",IF(Table1[[#This Row],[WorkLifeBalance]]=2,"Fair",IF(Table1[[#This Row],[WorkLifeBalance]]=3,"Good","Excellent")))</f>
        <v>Good</v>
      </c>
    </row>
    <row r="745" spans="1:37" x14ac:dyDescent="0.3">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c r="AJ745" t="str">
        <f>IF(Table1[[#This Row],[Column1]]&lt;=30,"18-30",IF(Table1[[#This Row],[Column1]]&lt;=50,"31-50","51+"))</f>
        <v>51+</v>
      </c>
      <c r="AK745" t="str">
        <f>IF(Table1[[#This Row],[WorkLifeBalance]]=1,"Poor",IF(Table1[[#This Row],[WorkLifeBalance]]=2,"Fair",IF(Table1[[#This Row],[WorkLifeBalance]]=3,"Good","Excellent")))</f>
        <v>Good</v>
      </c>
    </row>
    <row r="746" spans="1:37" x14ac:dyDescent="0.3">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c r="AJ746" t="str">
        <f>IF(Table1[[#This Row],[Column1]]&lt;=30,"18-30",IF(Table1[[#This Row],[Column1]]&lt;=50,"31-50","51+"))</f>
        <v>31-50</v>
      </c>
      <c r="AK746" t="str">
        <f>IF(Table1[[#This Row],[WorkLifeBalance]]=1,"Poor",IF(Table1[[#This Row],[WorkLifeBalance]]=2,"Fair",IF(Table1[[#This Row],[WorkLifeBalance]]=3,"Good","Excellent")))</f>
        <v>Poor</v>
      </c>
    </row>
    <row r="747" spans="1:37" x14ac:dyDescent="0.3">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c r="AJ747" t="str">
        <f>IF(Table1[[#This Row],[Column1]]&lt;=30,"18-30",IF(Table1[[#This Row],[Column1]]&lt;=50,"31-50","51+"))</f>
        <v>51+</v>
      </c>
      <c r="AK747" t="str">
        <f>IF(Table1[[#This Row],[WorkLifeBalance]]=1,"Poor",IF(Table1[[#This Row],[WorkLifeBalance]]=2,"Fair",IF(Table1[[#This Row],[WorkLifeBalance]]=3,"Good","Excellent")))</f>
        <v>Good</v>
      </c>
    </row>
    <row r="748" spans="1:37" x14ac:dyDescent="0.3">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c r="AJ748" t="str">
        <f>IF(Table1[[#This Row],[Column1]]&lt;=30,"18-30",IF(Table1[[#This Row],[Column1]]&lt;=50,"31-50","51+"))</f>
        <v>31-50</v>
      </c>
      <c r="AK748" t="str">
        <f>IF(Table1[[#This Row],[WorkLifeBalance]]=1,"Poor",IF(Table1[[#This Row],[WorkLifeBalance]]=2,"Fair",IF(Table1[[#This Row],[WorkLifeBalance]]=3,"Good","Excellent")))</f>
        <v>Good</v>
      </c>
    </row>
    <row r="749" spans="1:37" x14ac:dyDescent="0.3">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c r="AJ749" t="str">
        <f>IF(Table1[[#This Row],[Column1]]&lt;=30,"18-30",IF(Table1[[#This Row],[Column1]]&lt;=50,"31-50","51+"))</f>
        <v>31-50</v>
      </c>
      <c r="AK749" t="str">
        <f>IF(Table1[[#This Row],[WorkLifeBalance]]=1,"Poor",IF(Table1[[#This Row],[WorkLifeBalance]]=2,"Fair",IF(Table1[[#This Row],[WorkLifeBalance]]=3,"Good","Excellent")))</f>
        <v>Good</v>
      </c>
    </row>
    <row r="750" spans="1:37" x14ac:dyDescent="0.3">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c r="AJ750" t="str">
        <f>IF(Table1[[#This Row],[Column1]]&lt;=30,"18-30",IF(Table1[[#This Row],[Column1]]&lt;=50,"31-50","51+"))</f>
        <v>18-30</v>
      </c>
      <c r="AK750" t="str">
        <f>IF(Table1[[#This Row],[WorkLifeBalance]]=1,"Poor",IF(Table1[[#This Row],[WorkLifeBalance]]=2,"Fair",IF(Table1[[#This Row],[WorkLifeBalance]]=3,"Good","Excellent")))</f>
        <v>Good</v>
      </c>
    </row>
    <row r="751" spans="1:37" x14ac:dyDescent="0.3">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c r="AJ751" t="str">
        <f>IF(Table1[[#This Row],[Column1]]&lt;=30,"18-30",IF(Table1[[#This Row],[Column1]]&lt;=50,"31-50","51+"))</f>
        <v>51+</v>
      </c>
      <c r="AK751" t="str">
        <f>IF(Table1[[#This Row],[WorkLifeBalance]]=1,"Poor",IF(Table1[[#This Row],[WorkLifeBalance]]=2,"Fair",IF(Table1[[#This Row],[WorkLifeBalance]]=3,"Good","Excellent")))</f>
        <v>Good</v>
      </c>
    </row>
    <row r="752" spans="1:37" x14ac:dyDescent="0.3">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c r="AJ752" t="str">
        <f>IF(Table1[[#This Row],[Column1]]&lt;=30,"18-30",IF(Table1[[#This Row],[Column1]]&lt;=50,"31-50","51+"))</f>
        <v>31-50</v>
      </c>
      <c r="AK752" t="str">
        <f>IF(Table1[[#This Row],[WorkLifeBalance]]=1,"Poor",IF(Table1[[#This Row],[WorkLifeBalance]]=2,"Fair",IF(Table1[[#This Row],[WorkLifeBalance]]=3,"Good","Excellent")))</f>
        <v>Good</v>
      </c>
    </row>
    <row r="753" spans="1:37" x14ac:dyDescent="0.3">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c r="AJ753" t="str">
        <f>IF(Table1[[#This Row],[Column1]]&lt;=30,"18-30",IF(Table1[[#This Row],[Column1]]&lt;=50,"31-50","51+"))</f>
        <v>31-50</v>
      </c>
      <c r="AK753" t="str">
        <f>IF(Table1[[#This Row],[WorkLifeBalance]]=1,"Poor",IF(Table1[[#This Row],[WorkLifeBalance]]=2,"Fair",IF(Table1[[#This Row],[WorkLifeBalance]]=3,"Good","Excellent")))</f>
        <v>Good</v>
      </c>
    </row>
    <row r="754" spans="1:37" x14ac:dyDescent="0.3">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c r="AJ754" t="str">
        <f>IF(Table1[[#This Row],[Column1]]&lt;=30,"18-30",IF(Table1[[#This Row],[Column1]]&lt;=50,"31-50","51+"))</f>
        <v>31-50</v>
      </c>
      <c r="AK754" t="str">
        <f>IF(Table1[[#This Row],[WorkLifeBalance]]=1,"Poor",IF(Table1[[#This Row],[WorkLifeBalance]]=2,"Fair",IF(Table1[[#This Row],[WorkLifeBalance]]=3,"Good","Excellent")))</f>
        <v>Good</v>
      </c>
    </row>
    <row r="755" spans="1:37" x14ac:dyDescent="0.3">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c r="AJ755" t="str">
        <f>IF(Table1[[#This Row],[Column1]]&lt;=30,"18-30",IF(Table1[[#This Row],[Column1]]&lt;=50,"31-50","51+"))</f>
        <v>31-50</v>
      </c>
      <c r="AK755" t="str">
        <f>IF(Table1[[#This Row],[WorkLifeBalance]]=1,"Poor",IF(Table1[[#This Row],[WorkLifeBalance]]=2,"Fair",IF(Table1[[#This Row],[WorkLifeBalance]]=3,"Good","Excellent")))</f>
        <v>Good</v>
      </c>
    </row>
    <row r="756" spans="1:37" x14ac:dyDescent="0.3">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c r="AJ756" t="str">
        <f>IF(Table1[[#This Row],[Column1]]&lt;=30,"18-30",IF(Table1[[#This Row],[Column1]]&lt;=50,"31-50","51+"))</f>
        <v>31-50</v>
      </c>
      <c r="AK756" t="str">
        <f>IF(Table1[[#This Row],[WorkLifeBalance]]=1,"Poor",IF(Table1[[#This Row],[WorkLifeBalance]]=2,"Fair",IF(Table1[[#This Row],[WorkLifeBalance]]=3,"Good","Excellent")))</f>
        <v>Fair</v>
      </c>
    </row>
    <row r="757" spans="1:37" x14ac:dyDescent="0.3">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c r="AJ757" t="str">
        <f>IF(Table1[[#This Row],[Column1]]&lt;=30,"18-30",IF(Table1[[#This Row],[Column1]]&lt;=50,"31-50","51+"))</f>
        <v>31-50</v>
      </c>
      <c r="AK757" t="str">
        <f>IF(Table1[[#This Row],[WorkLifeBalance]]=1,"Poor",IF(Table1[[#This Row],[WorkLifeBalance]]=2,"Fair",IF(Table1[[#This Row],[WorkLifeBalance]]=3,"Good","Excellent")))</f>
        <v>Excellent</v>
      </c>
    </row>
    <row r="758" spans="1:37" x14ac:dyDescent="0.3">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c r="AJ758" t="str">
        <f>IF(Table1[[#This Row],[Column1]]&lt;=30,"18-30",IF(Table1[[#This Row],[Column1]]&lt;=50,"31-50","51+"))</f>
        <v>31-50</v>
      </c>
      <c r="AK758" t="str">
        <f>IF(Table1[[#This Row],[WorkLifeBalance]]=1,"Poor",IF(Table1[[#This Row],[WorkLifeBalance]]=2,"Fair",IF(Table1[[#This Row],[WorkLifeBalance]]=3,"Good","Excellent")))</f>
        <v>Good</v>
      </c>
    </row>
    <row r="759" spans="1:37" x14ac:dyDescent="0.3">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c r="AJ759" t="str">
        <f>IF(Table1[[#This Row],[Column1]]&lt;=30,"18-30",IF(Table1[[#This Row],[Column1]]&lt;=50,"31-50","51+"))</f>
        <v>31-50</v>
      </c>
      <c r="AK759" t="str">
        <f>IF(Table1[[#This Row],[WorkLifeBalance]]=1,"Poor",IF(Table1[[#This Row],[WorkLifeBalance]]=2,"Fair",IF(Table1[[#This Row],[WorkLifeBalance]]=3,"Good","Excellent")))</f>
        <v>Fair</v>
      </c>
    </row>
    <row r="760" spans="1:37" x14ac:dyDescent="0.3">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c r="AJ760" t="str">
        <f>IF(Table1[[#This Row],[Column1]]&lt;=30,"18-30",IF(Table1[[#This Row],[Column1]]&lt;=50,"31-50","51+"))</f>
        <v>51+</v>
      </c>
      <c r="AK760" t="str">
        <f>IF(Table1[[#This Row],[WorkLifeBalance]]=1,"Poor",IF(Table1[[#This Row],[WorkLifeBalance]]=2,"Fair",IF(Table1[[#This Row],[WorkLifeBalance]]=3,"Good","Excellent")))</f>
        <v>Poor</v>
      </c>
    </row>
    <row r="761" spans="1:37" x14ac:dyDescent="0.3">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c r="AJ761" t="str">
        <f>IF(Table1[[#This Row],[Column1]]&lt;=30,"18-30",IF(Table1[[#This Row],[Column1]]&lt;=50,"31-50","51+"))</f>
        <v>31-50</v>
      </c>
      <c r="AK761" t="str">
        <f>IF(Table1[[#This Row],[WorkLifeBalance]]=1,"Poor",IF(Table1[[#This Row],[WorkLifeBalance]]=2,"Fair",IF(Table1[[#This Row],[WorkLifeBalance]]=3,"Good","Excellent")))</f>
        <v>Good</v>
      </c>
    </row>
    <row r="762" spans="1:37" x14ac:dyDescent="0.3">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c r="AJ762" t="str">
        <f>IF(Table1[[#This Row],[Column1]]&lt;=30,"18-30",IF(Table1[[#This Row],[Column1]]&lt;=50,"31-50","51+"))</f>
        <v>51+</v>
      </c>
      <c r="AK762" t="str">
        <f>IF(Table1[[#This Row],[WorkLifeBalance]]=1,"Poor",IF(Table1[[#This Row],[WorkLifeBalance]]=2,"Fair",IF(Table1[[#This Row],[WorkLifeBalance]]=3,"Good","Excellent")))</f>
        <v>Good</v>
      </c>
    </row>
    <row r="763" spans="1:37" x14ac:dyDescent="0.3">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c r="AJ763" t="str">
        <f>IF(Table1[[#This Row],[Column1]]&lt;=30,"18-30",IF(Table1[[#This Row],[Column1]]&lt;=50,"31-50","51+"))</f>
        <v>31-50</v>
      </c>
      <c r="AK763" t="str">
        <f>IF(Table1[[#This Row],[WorkLifeBalance]]=1,"Poor",IF(Table1[[#This Row],[WorkLifeBalance]]=2,"Fair",IF(Table1[[#This Row],[WorkLifeBalance]]=3,"Good","Excellent")))</f>
        <v>Fair</v>
      </c>
    </row>
    <row r="764" spans="1:37" x14ac:dyDescent="0.3">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c r="AJ764" t="str">
        <f>IF(Table1[[#This Row],[Column1]]&lt;=30,"18-30",IF(Table1[[#This Row],[Column1]]&lt;=50,"31-50","51+"))</f>
        <v>18-30</v>
      </c>
      <c r="AK764" t="str">
        <f>IF(Table1[[#This Row],[WorkLifeBalance]]=1,"Poor",IF(Table1[[#This Row],[WorkLifeBalance]]=2,"Fair",IF(Table1[[#This Row],[WorkLifeBalance]]=3,"Good","Excellent")))</f>
        <v>Good</v>
      </c>
    </row>
    <row r="765" spans="1:37" x14ac:dyDescent="0.3">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c r="AJ765" t="str">
        <f>IF(Table1[[#This Row],[Column1]]&lt;=30,"18-30",IF(Table1[[#This Row],[Column1]]&lt;=50,"31-50","51+"))</f>
        <v>31-50</v>
      </c>
      <c r="AK765" t="str">
        <f>IF(Table1[[#This Row],[WorkLifeBalance]]=1,"Poor",IF(Table1[[#This Row],[WorkLifeBalance]]=2,"Fair",IF(Table1[[#This Row],[WorkLifeBalance]]=3,"Good","Excellent")))</f>
        <v>Good</v>
      </c>
    </row>
    <row r="766" spans="1:37" x14ac:dyDescent="0.3">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c r="AJ766" t="str">
        <f>IF(Table1[[#This Row],[Column1]]&lt;=30,"18-30",IF(Table1[[#This Row],[Column1]]&lt;=50,"31-50","51+"))</f>
        <v>18-30</v>
      </c>
      <c r="AK766" t="str">
        <f>IF(Table1[[#This Row],[WorkLifeBalance]]=1,"Poor",IF(Table1[[#This Row],[WorkLifeBalance]]=2,"Fair",IF(Table1[[#This Row],[WorkLifeBalance]]=3,"Good","Excellent")))</f>
        <v>Good</v>
      </c>
    </row>
    <row r="767" spans="1:37" x14ac:dyDescent="0.3">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c r="AJ767" t="str">
        <f>IF(Table1[[#This Row],[Column1]]&lt;=30,"18-30",IF(Table1[[#This Row],[Column1]]&lt;=50,"31-50","51+"))</f>
        <v>31-50</v>
      </c>
      <c r="AK767" t="str">
        <f>IF(Table1[[#This Row],[WorkLifeBalance]]=1,"Poor",IF(Table1[[#This Row],[WorkLifeBalance]]=2,"Fair",IF(Table1[[#This Row],[WorkLifeBalance]]=3,"Good","Excellent")))</f>
        <v>Good</v>
      </c>
    </row>
    <row r="768" spans="1:37" x14ac:dyDescent="0.3">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c r="AJ768" t="str">
        <f>IF(Table1[[#This Row],[Column1]]&lt;=30,"18-30",IF(Table1[[#This Row],[Column1]]&lt;=50,"31-50","51+"))</f>
        <v>31-50</v>
      </c>
      <c r="AK768" t="str">
        <f>IF(Table1[[#This Row],[WorkLifeBalance]]=1,"Poor",IF(Table1[[#This Row],[WorkLifeBalance]]=2,"Fair",IF(Table1[[#This Row],[WorkLifeBalance]]=3,"Good","Excellent")))</f>
        <v>Fair</v>
      </c>
    </row>
    <row r="769" spans="1:37" x14ac:dyDescent="0.3">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c r="AJ769" t="str">
        <f>IF(Table1[[#This Row],[Column1]]&lt;=30,"18-30",IF(Table1[[#This Row],[Column1]]&lt;=50,"31-50","51+"))</f>
        <v>31-50</v>
      </c>
      <c r="AK769" t="str">
        <f>IF(Table1[[#This Row],[WorkLifeBalance]]=1,"Poor",IF(Table1[[#This Row],[WorkLifeBalance]]=2,"Fair",IF(Table1[[#This Row],[WorkLifeBalance]]=3,"Good","Excellent")))</f>
        <v>Fair</v>
      </c>
    </row>
    <row r="770" spans="1:37" x14ac:dyDescent="0.3">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c r="AJ770" t="str">
        <f>IF(Table1[[#This Row],[Column1]]&lt;=30,"18-30",IF(Table1[[#This Row],[Column1]]&lt;=50,"31-50","51+"))</f>
        <v>31-50</v>
      </c>
      <c r="AK770" t="str">
        <f>IF(Table1[[#This Row],[WorkLifeBalance]]=1,"Poor",IF(Table1[[#This Row],[WorkLifeBalance]]=2,"Fair",IF(Table1[[#This Row],[WorkLifeBalance]]=3,"Good","Excellent")))</f>
        <v>Fair</v>
      </c>
    </row>
    <row r="771" spans="1:37" x14ac:dyDescent="0.3">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c r="AJ771" t="str">
        <f>IF(Table1[[#This Row],[Column1]]&lt;=30,"18-30",IF(Table1[[#This Row],[Column1]]&lt;=50,"31-50","51+"))</f>
        <v>18-30</v>
      </c>
      <c r="AK771" t="str">
        <f>IF(Table1[[#This Row],[WorkLifeBalance]]=1,"Poor",IF(Table1[[#This Row],[WorkLifeBalance]]=2,"Fair",IF(Table1[[#This Row],[WorkLifeBalance]]=3,"Good","Excellent")))</f>
        <v>Good</v>
      </c>
    </row>
    <row r="772" spans="1:37" x14ac:dyDescent="0.3">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c r="AJ772" t="str">
        <f>IF(Table1[[#This Row],[Column1]]&lt;=30,"18-30",IF(Table1[[#This Row],[Column1]]&lt;=50,"31-50","51+"))</f>
        <v>31-50</v>
      </c>
      <c r="AK772" t="str">
        <f>IF(Table1[[#This Row],[WorkLifeBalance]]=1,"Poor",IF(Table1[[#This Row],[WorkLifeBalance]]=2,"Fair",IF(Table1[[#This Row],[WorkLifeBalance]]=3,"Good","Excellent")))</f>
        <v>Good</v>
      </c>
    </row>
    <row r="773" spans="1:37" x14ac:dyDescent="0.3">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c r="AJ773" t="str">
        <f>IF(Table1[[#This Row],[Column1]]&lt;=30,"18-30",IF(Table1[[#This Row],[Column1]]&lt;=50,"31-50","51+"))</f>
        <v>51+</v>
      </c>
      <c r="AK773" t="str">
        <f>IF(Table1[[#This Row],[WorkLifeBalance]]=1,"Poor",IF(Table1[[#This Row],[WorkLifeBalance]]=2,"Fair",IF(Table1[[#This Row],[WorkLifeBalance]]=3,"Good","Excellent")))</f>
        <v>Good</v>
      </c>
    </row>
    <row r="774" spans="1:37" x14ac:dyDescent="0.3">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c r="AJ774" t="str">
        <f>IF(Table1[[#This Row],[Column1]]&lt;=30,"18-30",IF(Table1[[#This Row],[Column1]]&lt;=50,"31-50","51+"))</f>
        <v>51+</v>
      </c>
      <c r="AK774" t="str">
        <f>IF(Table1[[#This Row],[WorkLifeBalance]]=1,"Poor",IF(Table1[[#This Row],[WorkLifeBalance]]=2,"Fair",IF(Table1[[#This Row],[WorkLifeBalance]]=3,"Good","Excellent")))</f>
        <v>Good</v>
      </c>
    </row>
    <row r="775" spans="1:37" x14ac:dyDescent="0.3">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c r="AJ775" t="str">
        <f>IF(Table1[[#This Row],[Column1]]&lt;=30,"18-30",IF(Table1[[#This Row],[Column1]]&lt;=50,"31-50","51+"))</f>
        <v>31-50</v>
      </c>
      <c r="AK775" t="str">
        <f>IF(Table1[[#This Row],[WorkLifeBalance]]=1,"Poor",IF(Table1[[#This Row],[WorkLifeBalance]]=2,"Fair",IF(Table1[[#This Row],[WorkLifeBalance]]=3,"Good","Excellent")))</f>
        <v>Fair</v>
      </c>
    </row>
    <row r="776" spans="1:37" x14ac:dyDescent="0.3">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c r="AJ776" t="str">
        <f>IF(Table1[[#This Row],[Column1]]&lt;=30,"18-30",IF(Table1[[#This Row],[Column1]]&lt;=50,"31-50","51+"))</f>
        <v>51+</v>
      </c>
      <c r="AK776" t="str">
        <f>IF(Table1[[#This Row],[WorkLifeBalance]]=1,"Poor",IF(Table1[[#This Row],[WorkLifeBalance]]=2,"Fair",IF(Table1[[#This Row],[WorkLifeBalance]]=3,"Good","Excellent")))</f>
        <v>Excellent</v>
      </c>
    </row>
    <row r="777" spans="1:37" x14ac:dyDescent="0.3">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c r="AJ777" t="str">
        <f>IF(Table1[[#This Row],[Column1]]&lt;=30,"18-30",IF(Table1[[#This Row],[Column1]]&lt;=50,"31-50","51+"))</f>
        <v>31-50</v>
      </c>
      <c r="AK777" t="str">
        <f>IF(Table1[[#This Row],[WorkLifeBalance]]=1,"Poor",IF(Table1[[#This Row],[WorkLifeBalance]]=2,"Fair",IF(Table1[[#This Row],[WorkLifeBalance]]=3,"Good","Excellent")))</f>
        <v>Good</v>
      </c>
    </row>
    <row r="778" spans="1:37" x14ac:dyDescent="0.3">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c r="AJ778" t="str">
        <f>IF(Table1[[#This Row],[Column1]]&lt;=30,"18-30",IF(Table1[[#This Row],[Column1]]&lt;=50,"31-50","51+"))</f>
        <v>18-30</v>
      </c>
      <c r="AK778" t="str">
        <f>IF(Table1[[#This Row],[WorkLifeBalance]]=1,"Poor",IF(Table1[[#This Row],[WorkLifeBalance]]=2,"Fair",IF(Table1[[#This Row],[WorkLifeBalance]]=3,"Good","Excellent")))</f>
        <v>Good</v>
      </c>
    </row>
    <row r="779" spans="1:37" x14ac:dyDescent="0.3">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c r="AJ779" t="str">
        <f>IF(Table1[[#This Row],[Column1]]&lt;=30,"18-30",IF(Table1[[#This Row],[Column1]]&lt;=50,"31-50","51+"))</f>
        <v>18-30</v>
      </c>
      <c r="AK779" t="str">
        <f>IF(Table1[[#This Row],[WorkLifeBalance]]=1,"Poor",IF(Table1[[#This Row],[WorkLifeBalance]]=2,"Fair",IF(Table1[[#This Row],[WorkLifeBalance]]=3,"Good","Excellent")))</f>
        <v>Fair</v>
      </c>
    </row>
    <row r="780" spans="1:37" x14ac:dyDescent="0.3">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c r="AJ780" t="str">
        <f>IF(Table1[[#This Row],[Column1]]&lt;=30,"18-30",IF(Table1[[#This Row],[Column1]]&lt;=50,"31-50","51+"))</f>
        <v>31-50</v>
      </c>
      <c r="AK780" t="str">
        <f>IF(Table1[[#This Row],[WorkLifeBalance]]=1,"Poor",IF(Table1[[#This Row],[WorkLifeBalance]]=2,"Fair",IF(Table1[[#This Row],[WorkLifeBalance]]=3,"Good","Excellent")))</f>
        <v>Good</v>
      </c>
    </row>
    <row r="781" spans="1:37" x14ac:dyDescent="0.3">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c r="AJ781" t="str">
        <f>IF(Table1[[#This Row],[Column1]]&lt;=30,"18-30",IF(Table1[[#This Row],[Column1]]&lt;=50,"31-50","51+"))</f>
        <v>51+</v>
      </c>
      <c r="AK781" t="str">
        <f>IF(Table1[[#This Row],[WorkLifeBalance]]=1,"Poor",IF(Table1[[#This Row],[WorkLifeBalance]]=2,"Fair",IF(Table1[[#This Row],[WorkLifeBalance]]=3,"Good","Excellent")))</f>
        <v>Excellent</v>
      </c>
    </row>
    <row r="782" spans="1:37" x14ac:dyDescent="0.3">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c r="AJ782" t="str">
        <f>IF(Table1[[#This Row],[Column1]]&lt;=30,"18-30",IF(Table1[[#This Row],[Column1]]&lt;=50,"31-50","51+"))</f>
        <v>18-30</v>
      </c>
      <c r="AK782" t="str">
        <f>IF(Table1[[#This Row],[WorkLifeBalance]]=1,"Poor",IF(Table1[[#This Row],[WorkLifeBalance]]=2,"Fair",IF(Table1[[#This Row],[WorkLifeBalance]]=3,"Good","Excellent")))</f>
        <v>Fair</v>
      </c>
    </row>
    <row r="783" spans="1:37" x14ac:dyDescent="0.3">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c r="AJ783" t="str">
        <f>IF(Table1[[#This Row],[Column1]]&lt;=30,"18-30",IF(Table1[[#This Row],[Column1]]&lt;=50,"31-50","51+"))</f>
        <v>18-30</v>
      </c>
      <c r="AK783" t="str">
        <f>IF(Table1[[#This Row],[WorkLifeBalance]]=1,"Poor",IF(Table1[[#This Row],[WorkLifeBalance]]=2,"Fair",IF(Table1[[#This Row],[WorkLifeBalance]]=3,"Good","Excellent")))</f>
        <v>Good</v>
      </c>
    </row>
    <row r="784" spans="1:37" x14ac:dyDescent="0.3">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c r="AJ784" t="str">
        <f>IF(Table1[[#This Row],[Column1]]&lt;=30,"18-30",IF(Table1[[#This Row],[Column1]]&lt;=50,"31-50","51+"))</f>
        <v>18-30</v>
      </c>
      <c r="AK784" t="str">
        <f>IF(Table1[[#This Row],[WorkLifeBalance]]=1,"Poor",IF(Table1[[#This Row],[WorkLifeBalance]]=2,"Fair",IF(Table1[[#This Row],[WorkLifeBalance]]=3,"Good","Excellent")))</f>
        <v>Fair</v>
      </c>
    </row>
    <row r="785" spans="1:37" x14ac:dyDescent="0.3">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c r="AJ785" t="str">
        <f>IF(Table1[[#This Row],[Column1]]&lt;=30,"18-30",IF(Table1[[#This Row],[Column1]]&lt;=50,"31-50","51+"))</f>
        <v>31-50</v>
      </c>
      <c r="AK785" t="str">
        <f>IF(Table1[[#This Row],[WorkLifeBalance]]=1,"Poor",IF(Table1[[#This Row],[WorkLifeBalance]]=2,"Fair",IF(Table1[[#This Row],[WorkLifeBalance]]=3,"Good","Excellent")))</f>
        <v>Good</v>
      </c>
    </row>
    <row r="786" spans="1:37" x14ac:dyDescent="0.3">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c r="AJ786" t="str">
        <f>IF(Table1[[#This Row],[Column1]]&lt;=30,"18-30",IF(Table1[[#This Row],[Column1]]&lt;=50,"31-50","51+"))</f>
        <v>31-50</v>
      </c>
      <c r="AK786" t="str">
        <f>IF(Table1[[#This Row],[WorkLifeBalance]]=1,"Poor",IF(Table1[[#This Row],[WorkLifeBalance]]=2,"Fair",IF(Table1[[#This Row],[WorkLifeBalance]]=3,"Good","Excellent")))</f>
        <v>Fair</v>
      </c>
    </row>
    <row r="787" spans="1:37" x14ac:dyDescent="0.3">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c r="AJ787" t="str">
        <f>IF(Table1[[#This Row],[Column1]]&lt;=30,"18-30",IF(Table1[[#This Row],[Column1]]&lt;=50,"31-50","51+"))</f>
        <v>31-50</v>
      </c>
      <c r="AK787" t="str">
        <f>IF(Table1[[#This Row],[WorkLifeBalance]]=1,"Poor",IF(Table1[[#This Row],[WorkLifeBalance]]=2,"Fair",IF(Table1[[#This Row],[WorkLifeBalance]]=3,"Good","Excellent")))</f>
        <v>Good</v>
      </c>
    </row>
    <row r="788" spans="1:37" x14ac:dyDescent="0.3">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c r="AJ788" t="str">
        <f>IF(Table1[[#This Row],[Column1]]&lt;=30,"18-30",IF(Table1[[#This Row],[Column1]]&lt;=50,"31-50","51+"))</f>
        <v>18-30</v>
      </c>
      <c r="AK788" t="str">
        <f>IF(Table1[[#This Row],[WorkLifeBalance]]=1,"Poor",IF(Table1[[#This Row],[WorkLifeBalance]]=2,"Fair",IF(Table1[[#This Row],[WorkLifeBalance]]=3,"Good","Excellent")))</f>
        <v>Good</v>
      </c>
    </row>
    <row r="789" spans="1:37" x14ac:dyDescent="0.3">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c r="AJ789" t="str">
        <f>IF(Table1[[#This Row],[Column1]]&lt;=30,"18-30",IF(Table1[[#This Row],[Column1]]&lt;=50,"31-50","51+"))</f>
        <v>51+</v>
      </c>
      <c r="AK789" t="str">
        <f>IF(Table1[[#This Row],[WorkLifeBalance]]=1,"Poor",IF(Table1[[#This Row],[WorkLifeBalance]]=2,"Fair",IF(Table1[[#This Row],[WorkLifeBalance]]=3,"Good","Excellent")))</f>
        <v>Good</v>
      </c>
    </row>
    <row r="790" spans="1:37" x14ac:dyDescent="0.3">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c r="AJ790" t="str">
        <f>IF(Table1[[#This Row],[Column1]]&lt;=30,"18-30",IF(Table1[[#This Row],[Column1]]&lt;=50,"31-50","51+"))</f>
        <v>18-30</v>
      </c>
      <c r="AK790" t="str">
        <f>IF(Table1[[#This Row],[WorkLifeBalance]]=1,"Poor",IF(Table1[[#This Row],[WorkLifeBalance]]=2,"Fair",IF(Table1[[#This Row],[WorkLifeBalance]]=3,"Good","Excellent")))</f>
        <v>Excellent</v>
      </c>
    </row>
    <row r="791" spans="1:37" x14ac:dyDescent="0.3">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c r="AJ791" t="str">
        <f>IF(Table1[[#This Row],[Column1]]&lt;=30,"18-30",IF(Table1[[#This Row],[Column1]]&lt;=50,"31-50","51+"))</f>
        <v>31-50</v>
      </c>
      <c r="AK791" t="str">
        <f>IF(Table1[[#This Row],[WorkLifeBalance]]=1,"Poor",IF(Table1[[#This Row],[WorkLifeBalance]]=2,"Fair",IF(Table1[[#This Row],[WorkLifeBalance]]=3,"Good","Excellent")))</f>
        <v>Good</v>
      </c>
    </row>
    <row r="792" spans="1:37" x14ac:dyDescent="0.3">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c r="AJ792" t="str">
        <f>IF(Table1[[#This Row],[Column1]]&lt;=30,"18-30",IF(Table1[[#This Row],[Column1]]&lt;=50,"31-50","51+"))</f>
        <v>31-50</v>
      </c>
      <c r="AK792" t="str">
        <f>IF(Table1[[#This Row],[WorkLifeBalance]]=1,"Poor",IF(Table1[[#This Row],[WorkLifeBalance]]=2,"Fair",IF(Table1[[#This Row],[WorkLifeBalance]]=3,"Good","Excellent")))</f>
        <v>Good</v>
      </c>
    </row>
    <row r="793" spans="1:37" x14ac:dyDescent="0.3">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c r="AJ793" t="str">
        <f>IF(Table1[[#This Row],[Column1]]&lt;=30,"18-30",IF(Table1[[#This Row],[Column1]]&lt;=50,"31-50","51+"))</f>
        <v>31-50</v>
      </c>
      <c r="AK793" t="str">
        <f>IF(Table1[[#This Row],[WorkLifeBalance]]=1,"Poor",IF(Table1[[#This Row],[WorkLifeBalance]]=2,"Fair",IF(Table1[[#This Row],[WorkLifeBalance]]=3,"Good","Excellent")))</f>
        <v>Good</v>
      </c>
    </row>
    <row r="794" spans="1:37" x14ac:dyDescent="0.3">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c r="AJ794" t="str">
        <f>IF(Table1[[#This Row],[Column1]]&lt;=30,"18-30",IF(Table1[[#This Row],[Column1]]&lt;=50,"31-50","51+"))</f>
        <v>31-50</v>
      </c>
      <c r="AK794" t="str">
        <f>IF(Table1[[#This Row],[WorkLifeBalance]]=1,"Poor",IF(Table1[[#This Row],[WorkLifeBalance]]=2,"Fair",IF(Table1[[#This Row],[WorkLifeBalance]]=3,"Good","Excellent")))</f>
        <v>Good</v>
      </c>
    </row>
    <row r="795" spans="1:37" x14ac:dyDescent="0.3">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c r="AJ795" t="str">
        <f>IF(Table1[[#This Row],[Column1]]&lt;=30,"18-30",IF(Table1[[#This Row],[Column1]]&lt;=50,"31-50","51+"))</f>
        <v>18-30</v>
      </c>
      <c r="AK795" t="str">
        <f>IF(Table1[[#This Row],[WorkLifeBalance]]=1,"Poor",IF(Table1[[#This Row],[WorkLifeBalance]]=2,"Fair",IF(Table1[[#This Row],[WorkLifeBalance]]=3,"Good","Excellent")))</f>
        <v>Fair</v>
      </c>
    </row>
    <row r="796" spans="1:37" x14ac:dyDescent="0.3">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c r="AJ796" t="str">
        <f>IF(Table1[[#This Row],[Column1]]&lt;=30,"18-30",IF(Table1[[#This Row],[Column1]]&lt;=50,"31-50","51+"))</f>
        <v>31-50</v>
      </c>
      <c r="AK796" t="str">
        <f>IF(Table1[[#This Row],[WorkLifeBalance]]=1,"Poor",IF(Table1[[#This Row],[WorkLifeBalance]]=2,"Fair",IF(Table1[[#This Row],[WorkLifeBalance]]=3,"Good","Excellent")))</f>
        <v>Fair</v>
      </c>
    </row>
    <row r="797" spans="1:37" x14ac:dyDescent="0.3">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c r="AJ797" t="str">
        <f>IF(Table1[[#This Row],[Column1]]&lt;=30,"18-30",IF(Table1[[#This Row],[Column1]]&lt;=50,"31-50","51+"))</f>
        <v>31-50</v>
      </c>
      <c r="AK797" t="str">
        <f>IF(Table1[[#This Row],[WorkLifeBalance]]=1,"Poor",IF(Table1[[#This Row],[WorkLifeBalance]]=2,"Fair",IF(Table1[[#This Row],[WorkLifeBalance]]=3,"Good","Excellent")))</f>
        <v>Good</v>
      </c>
    </row>
    <row r="798" spans="1:37" x14ac:dyDescent="0.3">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c r="AJ798" t="str">
        <f>IF(Table1[[#This Row],[Column1]]&lt;=30,"18-30",IF(Table1[[#This Row],[Column1]]&lt;=50,"31-50","51+"))</f>
        <v>18-30</v>
      </c>
      <c r="AK798" t="str">
        <f>IF(Table1[[#This Row],[WorkLifeBalance]]=1,"Poor",IF(Table1[[#This Row],[WorkLifeBalance]]=2,"Fair",IF(Table1[[#This Row],[WorkLifeBalance]]=3,"Good","Excellent")))</f>
        <v>Excellent</v>
      </c>
    </row>
    <row r="799" spans="1:37" x14ac:dyDescent="0.3">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c r="AJ799" t="str">
        <f>IF(Table1[[#This Row],[Column1]]&lt;=30,"18-30",IF(Table1[[#This Row],[Column1]]&lt;=50,"31-50","51+"))</f>
        <v>18-30</v>
      </c>
      <c r="AK799" t="str">
        <f>IF(Table1[[#This Row],[WorkLifeBalance]]=1,"Poor",IF(Table1[[#This Row],[WorkLifeBalance]]=2,"Fair",IF(Table1[[#This Row],[WorkLifeBalance]]=3,"Good","Excellent")))</f>
        <v>Fair</v>
      </c>
    </row>
    <row r="800" spans="1:37" x14ac:dyDescent="0.3">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c r="AJ800" t="str">
        <f>IF(Table1[[#This Row],[Column1]]&lt;=30,"18-30",IF(Table1[[#This Row],[Column1]]&lt;=50,"31-50","51+"))</f>
        <v>31-50</v>
      </c>
      <c r="AK800" t="str">
        <f>IF(Table1[[#This Row],[WorkLifeBalance]]=1,"Poor",IF(Table1[[#This Row],[WorkLifeBalance]]=2,"Fair",IF(Table1[[#This Row],[WorkLifeBalance]]=3,"Good","Excellent")))</f>
        <v>Good</v>
      </c>
    </row>
    <row r="801" spans="1:37" x14ac:dyDescent="0.3">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c r="AJ801" t="str">
        <f>IF(Table1[[#This Row],[Column1]]&lt;=30,"18-30",IF(Table1[[#This Row],[Column1]]&lt;=50,"31-50","51+"))</f>
        <v>31-50</v>
      </c>
      <c r="AK801" t="str">
        <f>IF(Table1[[#This Row],[WorkLifeBalance]]=1,"Poor",IF(Table1[[#This Row],[WorkLifeBalance]]=2,"Fair",IF(Table1[[#This Row],[WorkLifeBalance]]=3,"Good","Excellent")))</f>
        <v>Good</v>
      </c>
    </row>
    <row r="802" spans="1:37" x14ac:dyDescent="0.3">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c r="AJ802" t="str">
        <f>IF(Table1[[#This Row],[Column1]]&lt;=30,"18-30",IF(Table1[[#This Row],[Column1]]&lt;=50,"31-50","51+"))</f>
        <v>18-30</v>
      </c>
      <c r="AK802" t="str">
        <f>IF(Table1[[#This Row],[WorkLifeBalance]]=1,"Poor",IF(Table1[[#This Row],[WorkLifeBalance]]=2,"Fair",IF(Table1[[#This Row],[WorkLifeBalance]]=3,"Good","Excellent")))</f>
        <v>Good</v>
      </c>
    </row>
    <row r="803" spans="1:37" x14ac:dyDescent="0.3">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c r="AJ803" t="str">
        <f>IF(Table1[[#This Row],[Column1]]&lt;=30,"18-30",IF(Table1[[#This Row],[Column1]]&lt;=50,"31-50","51+"))</f>
        <v>31-50</v>
      </c>
      <c r="AK803" t="str">
        <f>IF(Table1[[#This Row],[WorkLifeBalance]]=1,"Poor",IF(Table1[[#This Row],[WorkLifeBalance]]=2,"Fair",IF(Table1[[#This Row],[WorkLifeBalance]]=3,"Good","Excellent")))</f>
        <v>Good</v>
      </c>
    </row>
    <row r="804" spans="1:37" x14ac:dyDescent="0.3">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c r="AJ804" t="str">
        <f>IF(Table1[[#This Row],[Column1]]&lt;=30,"18-30",IF(Table1[[#This Row],[Column1]]&lt;=50,"31-50","51+"))</f>
        <v>31-50</v>
      </c>
      <c r="AK804" t="str">
        <f>IF(Table1[[#This Row],[WorkLifeBalance]]=1,"Poor",IF(Table1[[#This Row],[WorkLifeBalance]]=2,"Fair",IF(Table1[[#This Row],[WorkLifeBalance]]=3,"Good","Excellent")))</f>
        <v>Good</v>
      </c>
    </row>
    <row r="805" spans="1:37" x14ac:dyDescent="0.3">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c r="AJ805" t="str">
        <f>IF(Table1[[#This Row],[Column1]]&lt;=30,"18-30",IF(Table1[[#This Row],[Column1]]&lt;=50,"31-50","51+"))</f>
        <v>31-50</v>
      </c>
      <c r="AK805" t="str">
        <f>IF(Table1[[#This Row],[WorkLifeBalance]]=1,"Poor",IF(Table1[[#This Row],[WorkLifeBalance]]=2,"Fair",IF(Table1[[#This Row],[WorkLifeBalance]]=3,"Good","Excellent")))</f>
        <v>Good</v>
      </c>
    </row>
    <row r="806" spans="1:37" x14ac:dyDescent="0.3">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c r="AJ806" t="str">
        <f>IF(Table1[[#This Row],[Column1]]&lt;=30,"18-30",IF(Table1[[#This Row],[Column1]]&lt;=50,"31-50","51+"))</f>
        <v>31-50</v>
      </c>
      <c r="AK806" t="str">
        <f>IF(Table1[[#This Row],[WorkLifeBalance]]=1,"Poor",IF(Table1[[#This Row],[WorkLifeBalance]]=2,"Fair",IF(Table1[[#This Row],[WorkLifeBalance]]=3,"Good","Excellent")))</f>
        <v>Fair</v>
      </c>
    </row>
    <row r="807" spans="1:37" x14ac:dyDescent="0.3">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c r="AJ807" t="str">
        <f>IF(Table1[[#This Row],[Column1]]&lt;=30,"18-30",IF(Table1[[#This Row],[Column1]]&lt;=50,"31-50","51+"))</f>
        <v>31-50</v>
      </c>
      <c r="AK807" t="str">
        <f>IF(Table1[[#This Row],[WorkLifeBalance]]=1,"Poor",IF(Table1[[#This Row],[WorkLifeBalance]]=2,"Fair",IF(Table1[[#This Row],[WorkLifeBalance]]=3,"Good","Excellent")))</f>
        <v>Good</v>
      </c>
    </row>
    <row r="808" spans="1:37" x14ac:dyDescent="0.3">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c r="AJ808" t="str">
        <f>IF(Table1[[#This Row],[Column1]]&lt;=30,"18-30",IF(Table1[[#This Row],[Column1]]&lt;=50,"31-50","51+"))</f>
        <v>51+</v>
      </c>
      <c r="AK808" t="str">
        <f>IF(Table1[[#This Row],[WorkLifeBalance]]=1,"Poor",IF(Table1[[#This Row],[WorkLifeBalance]]=2,"Fair",IF(Table1[[#This Row],[WorkLifeBalance]]=3,"Good","Excellent")))</f>
        <v>Good</v>
      </c>
    </row>
    <row r="809" spans="1:37" x14ac:dyDescent="0.3">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c r="AJ809" t="str">
        <f>IF(Table1[[#This Row],[Column1]]&lt;=30,"18-30",IF(Table1[[#This Row],[Column1]]&lt;=50,"31-50","51+"))</f>
        <v>31-50</v>
      </c>
      <c r="AK809" t="str">
        <f>IF(Table1[[#This Row],[WorkLifeBalance]]=1,"Poor",IF(Table1[[#This Row],[WorkLifeBalance]]=2,"Fair",IF(Table1[[#This Row],[WorkLifeBalance]]=3,"Good","Excellent")))</f>
        <v>Good</v>
      </c>
    </row>
    <row r="810" spans="1:37" x14ac:dyDescent="0.3">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c r="AJ810" t="str">
        <f>IF(Table1[[#This Row],[Column1]]&lt;=30,"18-30",IF(Table1[[#This Row],[Column1]]&lt;=50,"31-50","51+"))</f>
        <v>18-30</v>
      </c>
      <c r="AK810" t="str">
        <f>IF(Table1[[#This Row],[WorkLifeBalance]]=1,"Poor",IF(Table1[[#This Row],[WorkLifeBalance]]=2,"Fair",IF(Table1[[#This Row],[WorkLifeBalance]]=3,"Good","Excellent")))</f>
        <v>Good</v>
      </c>
    </row>
    <row r="811" spans="1:37" x14ac:dyDescent="0.3">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c r="AJ811" t="str">
        <f>IF(Table1[[#This Row],[Column1]]&lt;=30,"18-30",IF(Table1[[#This Row],[Column1]]&lt;=50,"31-50","51+"))</f>
        <v>18-30</v>
      </c>
      <c r="AK811" t="str">
        <f>IF(Table1[[#This Row],[WorkLifeBalance]]=1,"Poor",IF(Table1[[#This Row],[WorkLifeBalance]]=2,"Fair",IF(Table1[[#This Row],[WorkLifeBalance]]=3,"Good","Excellent")))</f>
        <v>Fair</v>
      </c>
    </row>
    <row r="812" spans="1:37" x14ac:dyDescent="0.3">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c r="AJ812" t="str">
        <f>IF(Table1[[#This Row],[Column1]]&lt;=30,"18-30",IF(Table1[[#This Row],[Column1]]&lt;=50,"31-50","51+"))</f>
        <v>31-50</v>
      </c>
      <c r="AK812" t="str">
        <f>IF(Table1[[#This Row],[WorkLifeBalance]]=1,"Poor",IF(Table1[[#This Row],[WorkLifeBalance]]=2,"Fair",IF(Table1[[#This Row],[WorkLifeBalance]]=3,"Good","Excellent")))</f>
        <v>Good</v>
      </c>
    </row>
    <row r="813" spans="1:37" x14ac:dyDescent="0.3">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c r="AJ813" t="str">
        <f>IF(Table1[[#This Row],[Column1]]&lt;=30,"18-30",IF(Table1[[#This Row],[Column1]]&lt;=50,"31-50","51+"))</f>
        <v>31-50</v>
      </c>
      <c r="AK813" t="str">
        <f>IF(Table1[[#This Row],[WorkLifeBalance]]=1,"Poor",IF(Table1[[#This Row],[WorkLifeBalance]]=2,"Fair",IF(Table1[[#This Row],[WorkLifeBalance]]=3,"Good","Excellent")))</f>
        <v>Good</v>
      </c>
    </row>
    <row r="814" spans="1:37" x14ac:dyDescent="0.3">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c r="AJ814" t="str">
        <f>IF(Table1[[#This Row],[Column1]]&lt;=30,"18-30",IF(Table1[[#This Row],[Column1]]&lt;=50,"31-50","51+"))</f>
        <v>31-50</v>
      </c>
      <c r="AK814" t="str">
        <f>IF(Table1[[#This Row],[WorkLifeBalance]]=1,"Poor",IF(Table1[[#This Row],[WorkLifeBalance]]=2,"Fair",IF(Table1[[#This Row],[WorkLifeBalance]]=3,"Good","Excellent")))</f>
        <v>Good</v>
      </c>
    </row>
    <row r="815" spans="1:37" x14ac:dyDescent="0.3">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c r="AJ815" t="str">
        <f>IF(Table1[[#This Row],[Column1]]&lt;=30,"18-30",IF(Table1[[#This Row],[Column1]]&lt;=50,"31-50","51+"))</f>
        <v>31-50</v>
      </c>
      <c r="AK815" t="str">
        <f>IF(Table1[[#This Row],[WorkLifeBalance]]=1,"Poor",IF(Table1[[#This Row],[WorkLifeBalance]]=2,"Fair",IF(Table1[[#This Row],[WorkLifeBalance]]=3,"Good","Excellent")))</f>
        <v>Good</v>
      </c>
    </row>
    <row r="816" spans="1:37" x14ac:dyDescent="0.3">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c r="AJ816" t="str">
        <f>IF(Table1[[#This Row],[Column1]]&lt;=30,"18-30",IF(Table1[[#This Row],[Column1]]&lt;=50,"31-50","51+"))</f>
        <v>31-50</v>
      </c>
      <c r="AK816" t="str">
        <f>IF(Table1[[#This Row],[WorkLifeBalance]]=1,"Poor",IF(Table1[[#This Row],[WorkLifeBalance]]=2,"Fair",IF(Table1[[#This Row],[WorkLifeBalance]]=3,"Good","Excellent")))</f>
        <v>Excellent</v>
      </c>
    </row>
    <row r="817" spans="1:37" x14ac:dyDescent="0.3">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c r="AJ817" t="str">
        <f>IF(Table1[[#This Row],[Column1]]&lt;=30,"18-30",IF(Table1[[#This Row],[Column1]]&lt;=50,"31-50","51+"))</f>
        <v>18-30</v>
      </c>
      <c r="AK817" t="str">
        <f>IF(Table1[[#This Row],[WorkLifeBalance]]=1,"Poor",IF(Table1[[#This Row],[WorkLifeBalance]]=2,"Fair",IF(Table1[[#This Row],[WorkLifeBalance]]=3,"Good","Excellent")))</f>
        <v>Excellent</v>
      </c>
    </row>
    <row r="818" spans="1:37" x14ac:dyDescent="0.3">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c r="AJ818" t="str">
        <f>IF(Table1[[#This Row],[Column1]]&lt;=30,"18-30",IF(Table1[[#This Row],[Column1]]&lt;=50,"31-50","51+"))</f>
        <v>31-50</v>
      </c>
      <c r="AK818" t="str">
        <f>IF(Table1[[#This Row],[WorkLifeBalance]]=1,"Poor",IF(Table1[[#This Row],[WorkLifeBalance]]=2,"Fair",IF(Table1[[#This Row],[WorkLifeBalance]]=3,"Good","Excellent")))</f>
        <v>Fair</v>
      </c>
    </row>
    <row r="819" spans="1:37" x14ac:dyDescent="0.3">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c r="AJ819" t="str">
        <f>IF(Table1[[#This Row],[Column1]]&lt;=30,"18-30",IF(Table1[[#This Row],[Column1]]&lt;=50,"31-50","51+"))</f>
        <v>31-50</v>
      </c>
      <c r="AK819" t="str">
        <f>IF(Table1[[#This Row],[WorkLifeBalance]]=1,"Poor",IF(Table1[[#This Row],[WorkLifeBalance]]=2,"Fair",IF(Table1[[#This Row],[WorkLifeBalance]]=3,"Good","Excellent")))</f>
        <v>Good</v>
      </c>
    </row>
    <row r="820" spans="1:37" x14ac:dyDescent="0.3">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c r="AJ820" t="str">
        <f>IF(Table1[[#This Row],[Column1]]&lt;=30,"18-30",IF(Table1[[#This Row],[Column1]]&lt;=50,"31-50","51+"))</f>
        <v>31-50</v>
      </c>
      <c r="AK820" t="str">
        <f>IF(Table1[[#This Row],[WorkLifeBalance]]=1,"Poor",IF(Table1[[#This Row],[WorkLifeBalance]]=2,"Fair",IF(Table1[[#This Row],[WorkLifeBalance]]=3,"Good","Excellent")))</f>
        <v>Good</v>
      </c>
    </row>
    <row r="821" spans="1:37" x14ac:dyDescent="0.3">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c r="AJ821" t="str">
        <f>IF(Table1[[#This Row],[Column1]]&lt;=30,"18-30",IF(Table1[[#This Row],[Column1]]&lt;=50,"31-50","51+"))</f>
        <v>18-30</v>
      </c>
      <c r="AK821" t="str">
        <f>IF(Table1[[#This Row],[WorkLifeBalance]]=1,"Poor",IF(Table1[[#This Row],[WorkLifeBalance]]=2,"Fair",IF(Table1[[#This Row],[WorkLifeBalance]]=3,"Good","Excellent")))</f>
        <v>Poor</v>
      </c>
    </row>
    <row r="822" spans="1:37" x14ac:dyDescent="0.3">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c r="AJ822" t="str">
        <f>IF(Table1[[#This Row],[Column1]]&lt;=30,"18-30",IF(Table1[[#This Row],[Column1]]&lt;=50,"31-50","51+"))</f>
        <v>31-50</v>
      </c>
      <c r="AK822" t="str">
        <f>IF(Table1[[#This Row],[WorkLifeBalance]]=1,"Poor",IF(Table1[[#This Row],[WorkLifeBalance]]=2,"Fair",IF(Table1[[#This Row],[WorkLifeBalance]]=3,"Good","Excellent")))</f>
        <v>Good</v>
      </c>
    </row>
    <row r="823" spans="1:37" x14ac:dyDescent="0.3">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c r="AJ823" t="str">
        <f>IF(Table1[[#This Row],[Column1]]&lt;=30,"18-30",IF(Table1[[#This Row],[Column1]]&lt;=50,"31-50","51+"))</f>
        <v>31-50</v>
      </c>
      <c r="AK823" t="str">
        <f>IF(Table1[[#This Row],[WorkLifeBalance]]=1,"Poor",IF(Table1[[#This Row],[WorkLifeBalance]]=2,"Fair",IF(Table1[[#This Row],[WorkLifeBalance]]=3,"Good","Excellent")))</f>
        <v>Good</v>
      </c>
    </row>
    <row r="824" spans="1:37" x14ac:dyDescent="0.3">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c r="AJ824" t="str">
        <f>IF(Table1[[#This Row],[Column1]]&lt;=30,"18-30",IF(Table1[[#This Row],[Column1]]&lt;=50,"31-50","51+"))</f>
        <v>31-50</v>
      </c>
      <c r="AK824" t="str">
        <f>IF(Table1[[#This Row],[WorkLifeBalance]]=1,"Poor",IF(Table1[[#This Row],[WorkLifeBalance]]=2,"Fair",IF(Table1[[#This Row],[WorkLifeBalance]]=3,"Good","Excellent")))</f>
        <v>Fair</v>
      </c>
    </row>
    <row r="825" spans="1:37" x14ac:dyDescent="0.3">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c r="AJ825" t="str">
        <f>IF(Table1[[#This Row],[Column1]]&lt;=30,"18-30",IF(Table1[[#This Row],[Column1]]&lt;=50,"31-50","51+"))</f>
        <v>18-30</v>
      </c>
      <c r="AK825" t="str">
        <f>IF(Table1[[#This Row],[WorkLifeBalance]]=1,"Poor",IF(Table1[[#This Row],[WorkLifeBalance]]=2,"Fair",IF(Table1[[#This Row],[WorkLifeBalance]]=3,"Good","Excellent")))</f>
        <v>Fair</v>
      </c>
    </row>
    <row r="826" spans="1:37" x14ac:dyDescent="0.3">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c r="AJ826" t="str">
        <f>IF(Table1[[#This Row],[Column1]]&lt;=30,"18-30",IF(Table1[[#This Row],[Column1]]&lt;=50,"31-50","51+"))</f>
        <v>31-50</v>
      </c>
      <c r="AK826" t="str">
        <f>IF(Table1[[#This Row],[WorkLifeBalance]]=1,"Poor",IF(Table1[[#This Row],[WorkLifeBalance]]=2,"Fair",IF(Table1[[#This Row],[WorkLifeBalance]]=3,"Good","Excellent")))</f>
        <v>Good</v>
      </c>
    </row>
    <row r="827" spans="1:37" x14ac:dyDescent="0.3">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c r="AJ827" t="str">
        <f>IF(Table1[[#This Row],[Column1]]&lt;=30,"18-30",IF(Table1[[#This Row],[Column1]]&lt;=50,"31-50","51+"))</f>
        <v>18-30</v>
      </c>
      <c r="AK827" t="str">
        <f>IF(Table1[[#This Row],[WorkLifeBalance]]=1,"Poor",IF(Table1[[#This Row],[WorkLifeBalance]]=2,"Fair",IF(Table1[[#This Row],[WorkLifeBalance]]=3,"Good","Excellent")))</f>
        <v>Fair</v>
      </c>
    </row>
    <row r="828" spans="1:37" x14ac:dyDescent="0.3">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c r="AJ828" t="str">
        <f>IF(Table1[[#This Row],[Column1]]&lt;=30,"18-30",IF(Table1[[#This Row],[Column1]]&lt;=50,"31-50","51+"))</f>
        <v>31-50</v>
      </c>
      <c r="AK828" t="str">
        <f>IF(Table1[[#This Row],[WorkLifeBalance]]=1,"Poor",IF(Table1[[#This Row],[WorkLifeBalance]]=2,"Fair",IF(Table1[[#This Row],[WorkLifeBalance]]=3,"Good","Excellent")))</f>
        <v>Excellent</v>
      </c>
    </row>
    <row r="829" spans="1:37" x14ac:dyDescent="0.3">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c r="AJ829" t="str">
        <f>IF(Table1[[#This Row],[Column1]]&lt;=30,"18-30",IF(Table1[[#This Row],[Column1]]&lt;=50,"31-50","51+"))</f>
        <v>18-30</v>
      </c>
      <c r="AK829" t="str">
        <f>IF(Table1[[#This Row],[WorkLifeBalance]]=1,"Poor",IF(Table1[[#This Row],[WorkLifeBalance]]=2,"Fair",IF(Table1[[#This Row],[WorkLifeBalance]]=3,"Good","Excellent")))</f>
        <v>Good</v>
      </c>
    </row>
    <row r="830" spans="1:37" x14ac:dyDescent="0.3">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c r="AJ830" t="str">
        <f>IF(Table1[[#This Row],[Column1]]&lt;=30,"18-30",IF(Table1[[#This Row],[Column1]]&lt;=50,"31-50","51+"))</f>
        <v>18-30</v>
      </c>
      <c r="AK830" t="str">
        <f>IF(Table1[[#This Row],[WorkLifeBalance]]=1,"Poor",IF(Table1[[#This Row],[WorkLifeBalance]]=2,"Fair",IF(Table1[[#This Row],[WorkLifeBalance]]=3,"Good","Excellent")))</f>
        <v>Good</v>
      </c>
    </row>
    <row r="831" spans="1:37" x14ac:dyDescent="0.3">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c r="AJ831" t="str">
        <f>IF(Table1[[#This Row],[Column1]]&lt;=30,"18-30",IF(Table1[[#This Row],[Column1]]&lt;=50,"31-50","51+"))</f>
        <v>31-50</v>
      </c>
      <c r="AK831" t="str">
        <f>IF(Table1[[#This Row],[WorkLifeBalance]]=1,"Poor",IF(Table1[[#This Row],[WorkLifeBalance]]=2,"Fair",IF(Table1[[#This Row],[WorkLifeBalance]]=3,"Good","Excellent")))</f>
        <v>Good</v>
      </c>
    </row>
    <row r="832" spans="1:37" x14ac:dyDescent="0.3">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c r="AJ832" t="str">
        <f>IF(Table1[[#This Row],[Column1]]&lt;=30,"18-30",IF(Table1[[#This Row],[Column1]]&lt;=50,"31-50","51+"))</f>
        <v>31-50</v>
      </c>
      <c r="AK832" t="str">
        <f>IF(Table1[[#This Row],[WorkLifeBalance]]=1,"Poor",IF(Table1[[#This Row],[WorkLifeBalance]]=2,"Fair",IF(Table1[[#This Row],[WorkLifeBalance]]=3,"Good","Excellent")))</f>
        <v>Good</v>
      </c>
    </row>
    <row r="833" spans="1:37" x14ac:dyDescent="0.3">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c r="AJ833" t="str">
        <f>IF(Table1[[#This Row],[Column1]]&lt;=30,"18-30",IF(Table1[[#This Row],[Column1]]&lt;=50,"31-50","51+"))</f>
        <v>31-50</v>
      </c>
      <c r="AK833" t="str">
        <f>IF(Table1[[#This Row],[WorkLifeBalance]]=1,"Poor",IF(Table1[[#This Row],[WorkLifeBalance]]=2,"Fair",IF(Table1[[#This Row],[WorkLifeBalance]]=3,"Good","Excellent")))</f>
        <v>Fair</v>
      </c>
    </row>
    <row r="834" spans="1:37" x14ac:dyDescent="0.3">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c r="AJ834" t="str">
        <f>IF(Table1[[#This Row],[Column1]]&lt;=30,"18-30",IF(Table1[[#This Row],[Column1]]&lt;=50,"31-50","51+"))</f>
        <v>31-50</v>
      </c>
      <c r="AK834" t="str">
        <f>IF(Table1[[#This Row],[WorkLifeBalance]]=1,"Poor",IF(Table1[[#This Row],[WorkLifeBalance]]=2,"Fair",IF(Table1[[#This Row],[WorkLifeBalance]]=3,"Good","Excellent")))</f>
        <v>Good</v>
      </c>
    </row>
    <row r="835" spans="1:37" x14ac:dyDescent="0.3">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c r="AJ835" t="str">
        <f>IF(Table1[[#This Row],[Column1]]&lt;=30,"18-30",IF(Table1[[#This Row],[Column1]]&lt;=50,"31-50","51+"))</f>
        <v>18-30</v>
      </c>
      <c r="AK835" t="str">
        <f>IF(Table1[[#This Row],[WorkLifeBalance]]=1,"Poor",IF(Table1[[#This Row],[WorkLifeBalance]]=2,"Fair",IF(Table1[[#This Row],[WorkLifeBalance]]=3,"Good","Excellent")))</f>
        <v>Good</v>
      </c>
    </row>
    <row r="836" spans="1:37" x14ac:dyDescent="0.3">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c r="AJ836" t="str">
        <f>IF(Table1[[#This Row],[Column1]]&lt;=30,"18-30",IF(Table1[[#This Row],[Column1]]&lt;=50,"31-50","51+"))</f>
        <v>31-50</v>
      </c>
      <c r="AK836" t="str">
        <f>IF(Table1[[#This Row],[WorkLifeBalance]]=1,"Poor",IF(Table1[[#This Row],[WorkLifeBalance]]=2,"Fair",IF(Table1[[#This Row],[WorkLifeBalance]]=3,"Good","Excellent")))</f>
        <v>Fair</v>
      </c>
    </row>
    <row r="837" spans="1:37" x14ac:dyDescent="0.3">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c r="AJ837" t="str">
        <f>IF(Table1[[#This Row],[Column1]]&lt;=30,"18-30",IF(Table1[[#This Row],[Column1]]&lt;=50,"31-50","51+"))</f>
        <v>31-50</v>
      </c>
      <c r="AK837" t="str">
        <f>IF(Table1[[#This Row],[WorkLifeBalance]]=1,"Poor",IF(Table1[[#This Row],[WorkLifeBalance]]=2,"Fair",IF(Table1[[#This Row],[WorkLifeBalance]]=3,"Good","Excellent")))</f>
        <v>Poor</v>
      </c>
    </row>
    <row r="838" spans="1:37" x14ac:dyDescent="0.3">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c r="AJ838" t="str">
        <f>IF(Table1[[#This Row],[Column1]]&lt;=30,"18-30",IF(Table1[[#This Row],[Column1]]&lt;=50,"31-50","51+"))</f>
        <v>18-30</v>
      </c>
      <c r="AK838" t="str">
        <f>IF(Table1[[#This Row],[WorkLifeBalance]]=1,"Poor",IF(Table1[[#This Row],[WorkLifeBalance]]=2,"Fair",IF(Table1[[#This Row],[WorkLifeBalance]]=3,"Good","Excellent")))</f>
        <v>Poor</v>
      </c>
    </row>
    <row r="839" spans="1:37" x14ac:dyDescent="0.3">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c r="AJ839" t="str">
        <f>IF(Table1[[#This Row],[Column1]]&lt;=30,"18-30",IF(Table1[[#This Row],[Column1]]&lt;=50,"31-50","51+"))</f>
        <v>31-50</v>
      </c>
      <c r="AK839" t="str">
        <f>IF(Table1[[#This Row],[WorkLifeBalance]]=1,"Poor",IF(Table1[[#This Row],[WorkLifeBalance]]=2,"Fair",IF(Table1[[#This Row],[WorkLifeBalance]]=3,"Good","Excellent")))</f>
        <v>Fair</v>
      </c>
    </row>
    <row r="840" spans="1:37" x14ac:dyDescent="0.3">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c r="AJ840" t="str">
        <f>IF(Table1[[#This Row],[Column1]]&lt;=30,"18-30",IF(Table1[[#This Row],[Column1]]&lt;=50,"31-50","51+"))</f>
        <v>31-50</v>
      </c>
      <c r="AK840" t="str">
        <f>IF(Table1[[#This Row],[WorkLifeBalance]]=1,"Poor",IF(Table1[[#This Row],[WorkLifeBalance]]=2,"Fair",IF(Table1[[#This Row],[WorkLifeBalance]]=3,"Good","Excellent")))</f>
        <v>Fair</v>
      </c>
    </row>
    <row r="841" spans="1:37" x14ac:dyDescent="0.3">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c r="AJ841" t="str">
        <f>IF(Table1[[#This Row],[Column1]]&lt;=30,"18-30",IF(Table1[[#This Row],[Column1]]&lt;=50,"31-50","51+"))</f>
        <v>31-50</v>
      </c>
      <c r="AK841" t="str">
        <f>IF(Table1[[#This Row],[WorkLifeBalance]]=1,"Poor",IF(Table1[[#This Row],[WorkLifeBalance]]=2,"Fair",IF(Table1[[#This Row],[WorkLifeBalance]]=3,"Good","Excellent")))</f>
        <v>Excellent</v>
      </c>
    </row>
    <row r="842" spans="1:37" x14ac:dyDescent="0.3">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c r="AJ842" t="str">
        <f>IF(Table1[[#This Row],[Column1]]&lt;=30,"18-30",IF(Table1[[#This Row],[Column1]]&lt;=50,"31-50","51+"))</f>
        <v>31-50</v>
      </c>
      <c r="AK842" t="str">
        <f>IF(Table1[[#This Row],[WorkLifeBalance]]=1,"Poor",IF(Table1[[#This Row],[WorkLifeBalance]]=2,"Fair",IF(Table1[[#This Row],[WorkLifeBalance]]=3,"Good","Excellent")))</f>
        <v>Good</v>
      </c>
    </row>
    <row r="843" spans="1:37" x14ac:dyDescent="0.3">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c r="AJ843" t="str">
        <f>IF(Table1[[#This Row],[Column1]]&lt;=30,"18-30",IF(Table1[[#This Row],[Column1]]&lt;=50,"31-50","51+"))</f>
        <v>18-30</v>
      </c>
      <c r="AK843" t="str">
        <f>IF(Table1[[#This Row],[WorkLifeBalance]]=1,"Poor",IF(Table1[[#This Row],[WorkLifeBalance]]=2,"Fair",IF(Table1[[#This Row],[WorkLifeBalance]]=3,"Good","Excellent")))</f>
        <v>Good</v>
      </c>
    </row>
    <row r="844" spans="1:37" x14ac:dyDescent="0.3">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c r="AJ844" t="str">
        <f>IF(Table1[[#This Row],[Column1]]&lt;=30,"18-30",IF(Table1[[#This Row],[Column1]]&lt;=50,"31-50","51+"))</f>
        <v>18-30</v>
      </c>
      <c r="AK844" t="str">
        <f>IF(Table1[[#This Row],[WorkLifeBalance]]=1,"Poor",IF(Table1[[#This Row],[WorkLifeBalance]]=2,"Fair",IF(Table1[[#This Row],[WorkLifeBalance]]=3,"Good","Excellent")))</f>
        <v>Fair</v>
      </c>
    </row>
    <row r="845" spans="1:37" x14ac:dyDescent="0.3">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c r="AJ845" t="str">
        <f>IF(Table1[[#This Row],[Column1]]&lt;=30,"18-30",IF(Table1[[#This Row],[Column1]]&lt;=50,"31-50","51+"))</f>
        <v>18-30</v>
      </c>
      <c r="AK845" t="str">
        <f>IF(Table1[[#This Row],[WorkLifeBalance]]=1,"Poor",IF(Table1[[#This Row],[WorkLifeBalance]]=2,"Fair",IF(Table1[[#This Row],[WorkLifeBalance]]=3,"Good","Excellent")))</f>
        <v>Good</v>
      </c>
    </row>
    <row r="846" spans="1:37" x14ac:dyDescent="0.3">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c r="AJ846" t="str">
        <f>IF(Table1[[#This Row],[Column1]]&lt;=30,"18-30",IF(Table1[[#This Row],[Column1]]&lt;=50,"31-50","51+"))</f>
        <v>18-30</v>
      </c>
      <c r="AK846" t="str">
        <f>IF(Table1[[#This Row],[WorkLifeBalance]]=1,"Poor",IF(Table1[[#This Row],[WorkLifeBalance]]=2,"Fair",IF(Table1[[#This Row],[WorkLifeBalance]]=3,"Good","Excellent")))</f>
        <v>Good</v>
      </c>
    </row>
    <row r="847" spans="1:37" x14ac:dyDescent="0.3">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c r="AJ847" t="str">
        <f>IF(Table1[[#This Row],[Column1]]&lt;=30,"18-30",IF(Table1[[#This Row],[Column1]]&lt;=50,"31-50","51+"))</f>
        <v>31-50</v>
      </c>
      <c r="AK847" t="str">
        <f>IF(Table1[[#This Row],[WorkLifeBalance]]=1,"Poor",IF(Table1[[#This Row],[WorkLifeBalance]]=2,"Fair",IF(Table1[[#This Row],[WorkLifeBalance]]=3,"Good","Excellent")))</f>
        <v>Poor</v>
      </c>
    </row>
    <row r="848" spans="1:37" x14ac:dyDescent="0.3">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c r="AJ848" t="str">
        <f>IF(Table1[[#This Row],[Column1]]&lt;=30,"18-30",IF(Table1[[#This Row],[Column1]]&lt;=50,"31-50","51+"))</f>
        <v>31-50</v>
      </c>
      <c r="AK848" t="str">
        <f>IF(Table1[[#This Row],[WorkLifeBalance]]=1,"Poor",IF(Table1[[#This Row],[WorkLifeBalance]]=2,"Fair",IF(Table1[[#This Row],[WorkLifeBalance]]=3,"Good","Excellent")))</f>
        <v>Excellent</v>
      </c>
    </row>
    <row r="849" spans="1:37" x14ac:dyDescent="0.3">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c r="AJ849" t="str">
        <f>IF(Table1[[#This Row],[Column1]]&lt;=30,"18-30",IF(Table1[[#This Row],[Column1]]&lt;=50,"31-50","51+"))</f>
        <v>31-50</v>
      </c>
      <c r="AK849" t="str">
        <f>IF(Table1[[#This Row],[WorkLifeBalance]]=1,"Poor",IF(Table1[[#This Row],[WorkLifeBalance]]=2,"Fair",IF(Table1[[#This Row],[WorkLifeBalance]]=3,"Good","Excellent")))</f>
        <v>Good</v>
      </c>
    </row>
    <row r="850" spans="1:37" x14ac:dyDescent="0.3">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c r="AJ850" t="str">
        <f>IF(Table1[[#This Row],[Column1]]&lt;=30,"18-30",IF(Table1[[#This Row],[Column1]]&lt;=50,"31-50","51+"))</f>
        <v>31-50</v>
      </c>
      <c r="AK850" t="str">
        <f>IF(Table1[[#This Row],[WorkLifeBalance]]=1,"Poor",IF(Table1[[#This Row],[WorkLifeBalance]]=2,"Fair",IF(Table1[[#This Row],[WorkLifeBalance]]=3,"Good","Excellent")))</f>
        <v>Excellent</v>
      </c>
    </row>
    <row r="851" spans="1:37" x14ac:dyDescent="0.3">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c r="AJ851" t="str">
        <f>IF(Table1[[#This Row],[Column1]]&lt;=30,"18-30",IF(Table1[[#This Row],[Column1]]&lt;=50,"31-50","51+"))</f>
        <v>31-50</v>
      </c>
      <c r="AK851" t="str">
        <f>IF(Table1[[#This Row],[WorkLifeBalance]]=1,"Poor",IF(Table1[[#This Row],[WorkLifeBalance]]=2,"Fair",IF(Table1[[#This Row],[WorkLifeBalance]]=3,"Good","Excellent")))</f>
        <v>Fair</v>
      </c>
    </row>
    <row r="852" spans="1:37" x14ac:dyDescent="0.3">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c r="AJ852" t="str">
        <f>IF(Table1[[#This Row],[Column1]]&lt;=30,"18-30",IF(Table1[[#This Row],[Column1]]&lt;=50,"31-50","51+"))</f>
        <v>31-50</v>
      </c>
      <c r="AK852" t="str">
        <f>IF(Table1[[#This Row],[WorkLifeBalance]]=1,"Poor",IF(Table1[[#This Row],[WorkLifeBalance]]=2,"Fair",IF(Table1[[#This Row],[WorkLifeBalance]]=3,"Good","Excellent")))</f>
        <v>Good</v>
      </c>
    </row>
    <row r="853" spans="1:37" x14ac:dyDescent="0.3">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c r="AJ853" t="str">
        <f>IF(Table1[[#This Row],[Column1]]&lt;=30,"18-30",IF(Table1[[#This Row],[Column1]]&lt;=50,"31-50","51+"))</f>
        <v>51+</v>
      </c>
      <c r="AK853" t="str">
        <f>IF(Table1[[#This Row],[WorkLifeBalance]]=1,"Poor",IF(Table1[[#This Row],[WorkLifeBalance]]=2,"Fair",IF(Table1[[#This Row],[WorkLifeBalance]]=3,"Good","Excellent")))</f>
        <v>Good</v>
      </c>
    </row>
    <row r="854" spans="1:37" x14ac:dyDescent="0.3">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c r="AJ854" t="str">
        <f>IF(Table1[[#This Row],[Column1]]&lt;=30,"18-30",IF(Table1[[#This Row],[Column1]]&lt;=50,"31-50","51+"))</f>
        <v>18-30</v>
      </c>
      <c r="AK854" t="str">
        <f>IF(Table1[[#This Row],[WorkLifeBalance]]=1,"Poor",IF(Table1[[#This Row],[WorkLifeBalance]]=2,"Fair",IF(Table1[[#This Row],[WorkLifeBalance]]=3,"Good","Excellent")))</f>
        <v>Good</v>
      </c>
    </row>
    <row r="855" spans="1:37" x14ac:dyDescent="0.3">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c r="AJ855" t="str">
        <f>IF(Table1[[#This Row],[Column1]]&lt;=30,"18-30",IF(Table1[[#This Row],[Column1]]&lt;=50,"31-50","51+"))</f>
        <v>18-30</v>
      </c>
      <c r="AK855" t="str">
        <f>IF(Table1[[#This Row],[WorkLifeBalance]]=1,"Poor",IF(Table1[[#This Row],[WorkLifeBalance]]=2,"Fair",IF(Table1[[#This Row],[WorkLifeBalance]]=3,"Good","Excellent")))</f>
        <v>Good</v>
      </c>
    </row>
    <row r="856" spans="1:37" x14ac:dyDescent="0.3">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c r="AJ856" t="str">
        <f>IF(Table1[[#This Row],[Column1]]&lt;=30,"18-30",IF(Table1[[#This Row],[Column1]]&lt;=50,"31-50","51+"))</f>
        <v>31-50</v>
      </c>
      <c r="AK856" t="str">
        <f>IF(Table1[[#This Row],[WorkLifeBalance]]=1,"Poor",IF(Table1[[#This Row],[WorkLifeBalance]]=2,"Fair",IF(Table1[[#This Row],[WorkLifeBalance]]=3,"Good","Excellent")))</f>
        <v>Fair</v>
      </c>
    </row>
    <row r="857" spans="1:37" x14ac:dyDescent="0.3">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c r="AJ857" t="str">
        <f>IF(Table1[[#This Row],[Column1]]&lt;=30,"18-30",IF(Table1[[#This Row],[Column1]]&lt;=50,"31-50","51+"))</f>
        <v>31-50</v>
      </c>
      <c r="AK857" t="str">
        <f>IF(Table1[[#This Row],[WorkLifeBalance]]=1,"Poor",IF(Table1[[#This Row],[WorkLifeBalance]]=2,"Fair",IF(Table1[[#This Row],[WorkLifeBalance]]=3,"Good","Excellent")))</f>
        <v>Fair</v>
      </c>
    </row>
    <row r="858" spans="1:37" x14ac:dyDescent="0.3">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c r="AJ858" t="str">
        <f>IF(Table1[[#This Row],[Column1]]&lt;=30,"18-30",IF(Table1[[#This Row],[Column1]]&lt;=50,"31-50","51+"))</f>
        <v>18-30</v>
      </c>
      <c r="AK858" t="str">
        <f>IF(Table1[[#This Row],[WorkLifeBalance]]=1,"Poor",IF(Table1[[#This Row],[WorkLifeBalance]]=2,"Fair",IF(Table1[[#This Row],[WorkLifeBalance]]=3,"Good","Excellent")))</f>
        <v>Fair</v>
      </c>
    </row>
    <row r="859" spans="1:37" x14ac:dyDescent="0.3">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c r="AJ859" t="str">
        <f>IF(Table1[[#This Row],[Column1]]&lt;=30,"18-30",IF(Table1[[#This Row],[Column1]]&lt;=50,"31-50","51+"))</f>
        <v>31-50</v>
      </c>
      <c r="AK859" t="str">
        <f>IF(Table1[[#This Row],[WorkLifeBalance]]=1,"Poor",IF(Table1[[#This Row],[WorkLifeBalance]]=2,"Fair",IF(Table1[[#This Row],[WorkLifeBalance]]=3,"Good","Excellent")))</f>
        <v>Good</v>
      </c>
    </row>
    <row r="860" spans="1:37" x14ac:dyDescent="0.3">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c r="AJ860" t="str">
        <f>IF(Table1[[#This Row],[Column1]]&lt;=30,"18-30",IF(Table1[[#This Row],[Column1]]&lt;=50,"31-50","51+"))</f>
        <v>51+</v>
      </c>
      <c r="AK860" t="str">
        <f>IF(Table1[[#This Row],[WorkLifeBalance]]=1,"Poor",IF(Table1[[#This Row],[WorkLifeBalance]]=2,"Fair",IF(Table1[[#This Row],[WorkLifeBalance]]=3,"Good","Excellent")))</f>
        <v>Good</v>
      </c>
    </row>
    <row r="861" spans="1:37" x14ac:dyDescent="0.3">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c r="AJ861" t="str">
        <f>IF(Table1[[#This Row],[Column1]]&lt;=30,"18-30",IF(Table1[[#This Row],[Column1]]&lt;=50,"31-50","51+"))</f>
        <v>18-30</v>
      </c>
      <c r="AK861" t="str">
        <f>IF(Table1[[#This Row],[WorkLifeBalance]]=1,"Poor",IF(Table1[[#This Row],[WorkLifeBalance]]=2,"Fair",IF(Table1[[#This Row],[WorkLifeBalance]]=3,"Good","Excellent")))</f>
        <v>Fair</v>
      </c>
    </row>
    <row r="862" spans="1:37" x14ac:dyDescent="0.3">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c r="AJ862" t="str">
        <f>IF(Table1[[#This Row],[Column1]]&lt;=30,"18-30",IF(Table1[[#This Row],[Column1]]&lt;=50,"31-50","51+"))</f>
        <v>18-30</v>
      </c>
      <c r="AK862" t="str">
        <f>IF(Table1[[#This Row],[WorkLifeBalance]]=1,"Poor",IF(Table1[[#This Row],[WorkLifeBalance]]=2,"Fair",IF(Table1[[#This Row],[WorkLifeBalance]]=3,"Good","Excellent")))</f>
        <v>Good</v>
      </c>
    </row>
    <row r="863" spans="1:37" x14ac:dyDescent="0.3">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c r="AJ863" t="str">
        <f>IF(Table1[[#This Row],[Column1]]&lt;=30,"18-30",IF(Table1[[#This Row],[Column1]]&lt;=50,"31-50","51+"))</f>
        <v>31-50</v>
      </c>
      <c r="AK863" t="str">
        <f>IF(Table1[[#This Row],[WorkLifeBalance]]=1,"Poor",IF(Table1[[#This Row],[WorkLifeBalance]]=2,"Fair",IF(Table1[[#This Row],[WorkLifeBalance]]=3,"Good","Excellent")))</f>
        <v>Good</v>
      </c>
    </row>
    <row r="864" spans="1:37" x14ac:dyDescent="0.3">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c r="AJ864" t="str">
        <f>IF(Table1[[#This Row],[Column1]]&lt;=30,"18-30",IF(Table1[[#This Row],[Column1]]&lt;=50,"31-50","51+"))</f>
        <v>31-50</v>
      </c>
      <c r="AK864" t="str">
        <f>IF(Table1[[#This Row],[WorkLifeBalance]]=1,"Poor",IF(Table1[[#This Row],[WorkLifeBalance]]=2,"Fair",IF(Table1[[#This Row],[WorkLifeBalance]]=3,"Good","Excellent")))</f>
        <v>Good</v>
      </c>
    </row>
    <row r="865" spans="1:37" x14ac:dyDescent="0.3">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c r="AJ865" t="str">
        <f>IF(Table1[[#This Row],[Column1]]&lt;=30,"18-30",IF(Table1[[#This Row],[Column1]]&lt;=50,"31-50","51+"))</f>
        <v>31-50</v>
      </c>
      <c r="AK865" t="str">
        <f>IF(Table1[[#This Row],[WorkLifeBalance]]=1,"Poor",IF(Table1[[#This Row],[WorkLifeBalance]]=2,"Fair",IF(Table1[[#This Row],[WorkLifeBalance]]=3,"Good","Excellent")))</f>
        <v>Good</v>
      </c>
    </row>
    <row r="866" spans="1:37" x14ac:dyDescent="0.3">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c r="AJ866" t="str">
        <f>IF(Table1[[#This Row],[Column1]]&lt;=30,"18-30",IF(Table1[[#This Row],[Column1]]&lt;=50,"31-50","51+"))</f>
        <v>31-50</v>
      </c>
      <c r="AK866" t="str">
        <f>IF(Table1[[#This Row],[WorkLifeBalance]]=1,"Poor",IF(Table1[[#This Row],[WorkLifeBalance]]=2,"Fair",IF(Table1[[#This Row],[WorkLifeBalance]]=3,"Good","Excellent")))</f>
        <v>Poor</v>
      </c>
    </row>
    <row r="867" spans="1:37" x14ac:dyDescent="0.3">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c r="AJ867" t="str">
        <f>IF(Table1[[#This Row],[Column1]]&lt;=30,"18-30",IF(Table1[[#This Row],[Column1]]&lt;=50,"31-50","51+"))</f>
        <v>18-30</v>
      </c>
      <c r="AK867" t="str">
        <f>IF(Table1[[#This Row],[WorkLifeBalance]]=1,"Poor",IF(Table1[[#This Row],[WorkLifeBalance]]=2,"Fair",IF(Table1[[#This Row],[WorkLifeBalance]]=3,"Good","Excellent")))</f>
        <v>Good</v>
      </c>
    </row>
    <row r="868" spans="1:37" x14ac:dyDescent="0.3">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c r="AJ868" t="str">
        <f>IF(Table1[[#This Row],[Column1]]&lt;=30,"18-30",IF(Table1[[#This Row],[Column1]]&lt;=50,"31-50","51+"))</f>
        <v>31-50</v>
      </c>
      <c r="AK868" t="str">
        <f>IF(Table1[[#This Row],[WorkLifeBalance]]=1,"Poor",IF(Table1[[#This Row],[WorkLifeBalance]]=2,"Fair",IF(Table1[[#This Row],[WorkLifeBalance]]=3,"Good","Excellent")))</f>
        <v>Good</v>
      </c>
    </row>
    <row r="869" spans="1:37" x14ac:dyDescent="0.3">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c r="AJ869" t="str">
        <f>IF(Table1[[#This Row],[Column1]]&lt;=30,"18-30",IF(Table1[[#This Row],[Column1]]&lt;=50,"31-50","51+"))</f>
        <v>31-50</v>
      </c>
      <c r="AK869" t="str">
        <f>IF(Table1[[#This Row],[WorkLifeBalance]]=1,"Poor",IF(Table1[[#This Row],[WorkLifeBalance]]=2,"Fair",IF(Table1[[#This Row],[WorkLifeBalance]]=3,"Good","Excellent")))</f>
        <v>Good</v>
      </c>
    </row>
    <row r="870" spans="1:37" x14ac:dyDescent="0.3">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c r="AJ870" t="str">
        <f>IF(Table1[[#This Row],[Column1]]&lt;=30,"18-30",IF(Table1[[#This Row],[Column1]]&lt;=50,"31-50","51+"))</f>
        <v>18-30</v>
      </c>
      <c r="AK870" t="str">
        <f>IF(Table1[[#This Row],[WorkLifeBalance]]=1,"Poor",IF(Table1[[#This Row],[WorkLifeBalance]]=2,"Fair",IF(Table1[[#This Row],[WorkLifeBalance]]=3,"Good","Excellent")))</f>
        <v>Good</v>
      </c>
    </row>
    <row r="871" spans="1:37" x14ac:dyDescent="0.3">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c r="AJ871" t="str">
        <f>IF(Table1[[#This Row],[Column1]]&lt;=30,"18-30",IF(Table1[[#This Row],[Column1]]&lt;=50,"31-50","51+"))</f>
        <v>31-50</v>
      </c>
      <c r="AK871" t="str">
        <f>IF(Table1[[#This Row],[WorkLifeBalance]]=1,"Poor",IF(Table1[[#This Row],[WorkLifeBalance]]=2,"Fair",IF(Table1[[#This Row],[WorkLifeBalance]]=3,"Good","Excellent")))</f>
        <v>Good</v>
      </c>
    </row>
    <row r="872" spans="1:37" x14ac:dyDescent="0.3">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c r="AJ872" t="str">
        <f>IF(Table1[[#This Row],[Column1]]&lt;=30,"18-30",IF(Table1[[#This Row],[Column1]]&lt;=50,"31-50","51+"))</f>
        <v>31-50</v>
      </c>
      <c r="AK872" t="str">
        <f>IF(Table1[[#This Row],[WorkLifeBalance]]=1,"Poor",IF(Table1[[#This Row],[WorkLifeBalance]]=2,"Fair",IF(Table1[[#This Row],[WorkLifeBalance]]=3,"Good","Excellent")))</f>
        <v>Good</v>
      </c>
    </row>
    <row r="873" spans="1:37" x14ac:dyDescent="0.3">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c r="AJ873" t="str">
        <f>IF(Table1[[#This Row],[Column1]]&lt;=30,"18-30",IF(Table1[[#This Row],[Column1]]&lt;=50,"31-50","51+"))</f>
        <v>18-30</v>
      </c>
      <c r="AK873" t="str">
        <f>IF(Table1[[#This Row],[WorkLifeBalance]]=1,"Poor",IF(Table1[[#This Row],[WorkLifeBalance]]=2,"Fair",IF(Table1[[#This Row],[WorkLifeBalance]]=3,"Good","Excellent")))</f>
        <v>Poor</v>
      </c>
    </row>
    <row r="874" spans="1:37" x14ac:dyDescent="0.3">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c r="AJ874" t="str">
        <f>IF(Table1[[#This Row],[Column1]]&lt;=30,"18-30",IF(Table1[[#This Row],[Column1]]&lt;=50,"31-50","51+"))</f>
        <v>31-50</v>
      </c>
      <c r="AK874" t="str">
        <f>IF(Table1[[#This Row],[WorkLifeBalance]]=1,"Poor",IF(Table1[[#This Row],[WorkLifeBalance]]=2,"Fair",IF(Table1[[#This Row],[WorkLifeBalance]]=3,"Good","Excellent")))</f>
        <v>Fair</v>
      </c>
    </row>
    <row r="875" spans="1:37" x14ac:dyDescent="0.3">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c r="AJ875" t="str">
        <f>IF(Table1[[#This Row],[Column1]]&lt;=30,"18-30",IF(Table1[[#This Row],[Column1]]&lt;=50,"31-50","51+"))</f>
        <v>31-50</v>
      </c>
      <c r="AK875" t="str">
        <f>IF(Table1[[#This Row],[WorkLifeBalance]]=1,"Poor",IF(Table1[[#This Row],[WorkLifeBalance]]=2,"Fair",IF(Table1[[#This Row],[WorkLifeBalance]]=3,"Good","Excellent")))</f>
        <v>Good</v>
      </c>
    </row>
    <row r="876" spans="1:37" x14ac:dyDescent="0.3">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c r="AJ876" t="str">
        <f>IF(Table1[[#This Row],[Column1]]&lt;=30,"18-30",IF(Table1[[#This Row],[Column1]]&lt;=50,"31-50","51+"))</f>
        <v>18-30</v>
      </c>
      <c r="AK876" t="str">
        <f>IF(Table1[[#This Row],[WorkLifeBalance]]=1,"Poor",IF(Table1[[#This Row],[WorkLifeBalance]]=2,"Fair",IF(Table1[[#This Row],[WorkLifeBalance]]=3,"Good","Excellent")))</f>
        <v>Fair</v>
      </c>
    </row>
    <row r="877" spans="1:37" x14ac:dyDescent="0.3">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c r="AJ877" t="str">
        <f>IF(Table1[[#This Row],[Column1]]&lt;=30,"18-30",IF(Table1[[#This Row],[Column1]]&lt;=50,"31-50","51+"))</f>
        <v>31-50</v>
      </c>
      <c r="AK877" t="str">
        <f>IF(Table1[[#This Row],[WorkLifeBalance]]=1,"Poor",IF(Table1[[#This Row],[WorkLifeBalance]]=2,"Fair",IF(Table1[[#This Row],[WorkLifeBalance]]=3,"Good","Excellent")))</f>
        <v>Good</v>
      </c>
    </row>
    <row r="878" spans="1:37" x14ac:dyDescent="0.3">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c r="AJ878" t="str">
        <f>IF(Table1[[#This Row],[Column1]]&lt;=30,"18-30",IF(Table1[[#This Row],[Column1]]&lt;=50,"31-50","51+"))</f>
        <v>18-30</v>
      </c>
      <c r="AK878" t="str">
        <f>IF(Table1[[#This Row],[WorkLifeBalance]]=1,"Poor",IF(Table1[[#This Row],[WorkLifeBalance]]=2,"Fair",IF(Table1[[#This Row],[WorkLifeBalance]]=3,"Good","Excellent")))</f>
        <v>Good</v>
      </c>
    </row>
    <row r="879" spans="1:37" x14ac:dyDescent="0.3">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c r="AJ879" t="str">
        <f>IF(Table1[[#This Row],[Column1]]&lt;=30,"18-30",IF(Table1[[#This Row],[Column1]]&lt;=50,"31-50","51+"))</f>
        <v>31-50</v>
      </c>
      <c r="AK879" t="str">
        <f>IF(Table1[[#This Row],[WorkLifeBalance]]=1,"Poor",IF(Table1[[#This Row],[WorkLifeBalance]]=2,"Fair",IF(Table1[[#This Row],[WorkLifeBalance]]=3,"Good","Excellent")))</f>
        <v>Fair</v>
      </c>
    </row>
    <row r="880" spans="1:37" x14ac:dyDescent="0.3">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c r="AJ880" t="str">
        <f>IF(Table1[[#This Row],[Column1]]&lt;=30,"18-30",IF(Table1[[#This Row],[Column1]]&lt;=50,"31-50","51+"))</f>
        <v>31-50</v>
      </c>
      <c r="AK880" t="str">
        <f>IF(Table1[[#This Row],[WorkLifeBalance]]=1,"Poor",IF(Table1[[#This Row],[WorkLifeBalance]]=2,"Fair",IF(Table1[[#This Row],[WorkLifeBalance]]=3,"Good","Excellent")))</f>
        <v>Excellent</v>
      </c>
    </row>
    <row r="881" spans="1:37" x14ac:dyDescent="0.3">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c r="AJ881" t="str">
        <f>IF(Table1[[#This Row],[Column1]]&lt;=30,"18-30",IF(Table1[[#This Row],[Column1]]&lt;=50,"31-50","51+"))</f>
        <v>51+</v>
      </c>
      <c r="AK881" t="str">
        <f>IF(Table1[[#This Row],[WorkLifeBalance]]=1,"Poor",IF(Table1[[#This Row],[WorkLifeBalance]]=2,"Fair",IF(Table1[[#This Row],[WorkLifeBalance]]=3,"Good","Excellent")))</f>
        <v>Good</v>
      </c>
    </row>
    <row r="882" spans="1:37" x14ac:dyDescent="0.3">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c r="AJ882" t="str">
        <f>IF(Table1[[#This Row],[Column1]]&lt;=30,"18-30",IF(Table1[[#This Row],[Column1]]&lt;=50,"31-50","51+"))</f>
        <v>31-50</v>
      </c>
      <c r="AK882" t="str">
        <f>IF(Table1[[#This Row],[WorkLifeBalance]]=1,"Poor",IF(Table1[[#This Row],[WorkLifeBalance]]=2,"Fair",IF(Table1[[#This Row],[WorkLifeBalance]]=3,"Good","Excellent")))</f>
        <v>Good</v>
      </c>
    </row>
    <row r="883" spans="1:37" x14ac:dyDescent="0.3">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c r="AJ883" t="str">
        <f>IF(Table1[[#This Row],[Column1]]&lt;=30,"18-30",IF(Table1[[#This Row],[Column1]]&lt;=50,"31-50","51+"))</f>
        <v>31-50</v>
      </c>
      <c r="AK883" t="str">
        <f>IF(Table1[[#This Row],[WorkLifeBalance]]=1,"Poor",IF(Table1[[#This Row],[WorkLifeBalance]]=2,"Fair",IF(Table1[[#This Row],[WorkLifeBalance]]=3,"Good","Excellent")))</f>
        <v>Good</v>
      </c>
    </row>
    <row r="884" spans="1:37" x14ac:dyDescent="0.3">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c r="AJ884" t="str">
        <f>IF(Table1[[#This Row],[Column1]]&lt;=30,"18-30",IF(Table1[[#This Row],[Column1]]&lt;=50,"31-50","51+"))</f>
        <v>31-50</v>
      </c>
      <c r="AK884" t="str">
        <f>IF(Table1[[#This Row],[WorkLifeBalance]]=1,"Poor",IF(Table1[[#This Row],[WorkLifeBalance]]=2,"Fair",IF(Table1[[#This Row],[WorkLifeBalance]]=3,"Good","Excellent")))</f>
        <v>Good</v>
      </c>
    </row>
    <row r="885" spans="1:37" x14ac:dyDescent="0.3">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c r="AJ885" t="str">
        <f>IF(Table1[[#This Row],[Column1]]&lt;=30,"18-30",IF(Table1[[#This Row],[Column1]]&lt;=50,"31-50","51+"))</f>
        <v>31-50</v>
      </c>
      <c r="AK885" t="str">
        <f>IF(Table1[[#This Row],[WorkLifeBalance]]=1,"Poor",IF(Table1[[#This Row],[WorkLifeBalance]]=2,"Fair",IF(Table1[[#This Row],[WorkLifeBalance]]=3,"Good","Excellent")))</f>
        <v>Good</v>
      </c>
    </row>
    <row r="886" spans="1:37" x14ac:dyDescent="0.3">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c r="AJ886" t="str">
        <f>IF(Table1[[#This Row],[Column1]]&lt;=30,"18-30",IF(Table1[[#This Row],[Column1]]&lt;=50,"31-50","51+"))</f>
        <v>31-50</v>
      </c>
      <c r="AK886" t="str">
        <f>IF(Table1[[#This Row],[WorkLifeBalance]]=1,"Poor",IF(Table1[[#This Row],[WorkLifeBalance]]=2,"Fair",IF(Table1[[#This Row],[WorkLifeBalance]]=3,"Good","Excellent")))</f>
        <v>Excellent</v>
      </c>
    </row>
    <row r="887" spans="1:37" x14ac:dyDescent="0.3">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c r="AJ887" t="str">
        <f>IF(Table1[[#This Row],[Column1]]&lt;=30,"18-30",IF(Table1[[#This Row],[Column1]]&lt;=50,"31-50","51+"))</f>
        <v>18-30</v>
      </c>
      <c r="AK887" t="str">
        <f>IF(Table1[[#This Row],[WorkLifeBalance]]=1,"Poor",IF(Table1[[#This Row],[WorkLifeBalance]]=2,"Fair",IF(Table1[[#This Row],[WorkLifeBalance]]=3,"Good","Excellent")))</f>
        <v>Good</v>
      </c>
    </row>
    <row r="888" spans="1:37" x14ac:dyDescent="0.3">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c r="AJ888" t="str">
        <f>IF(Table1[[#This Row],[Column1]]&lt;=30,"18-30",IF(Table1[[#This Row],[Column1]]&lt;=50,"31-50","51+"))</f>
        <v>18-30</v>
      </c>
      <c r="AK888" t="str">
        <f>IF(Table1[[#This Row],[WorkLifeBalance]]=1,"Poor",IF(Table1[[#This Row],[WorkLifeBalance]]=2,"Fair",IF(Table1[[#This Row],[WorkLifeBalance]]=3,"Good","Excellent")))</f>
        <v>Good</v>
      </c>
    </row>
    <row r="889" spans="1:37" x14ac:dyDescent="0.3">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c r="AJ889" t="str">
        <f>IF(Table1[[#This Row],[Column1]]&lt;=30,"18-30",IF(Table1[[#This Row],[Column1]]&lt;=50,"31-50","51+"))</f>
        <v>31-50</v>
      </c>
      <c r="AK889" t="str">
        <f>IF(Table1[[#This Row],[WorkLifeBalance]]=1,"Poor",IF(Table1[[#This Row],[WorkLifeBalance]]=2,"Fair",IF(Table1[[#This Row],[WorkLifeBalance]]=3,"Good","Excellent")))</f>
        <v>Good</v>
      </c>
    </row>
    <row r="890" spans="1:37" x14ac:dyDescent="0.3">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c r="AJ890" t="str">
        <f>IF(Table1[[#This Row],[Column1]]&lt;=30,"18-30",IF(Table1[[#This Row],[Column1]]&lt;=50,"31-50","51+"))</f>
        <v>31-50</v>
      </c>
      <c r="AK890" t="str">
        <f>IF(Table1[[#This Row],[WorkLifeBalance]]=1,"Poor",IF(Table1[[#This Row],[WorkLifeBalance]]=2,"Fair",IF(Table1[[#This Row],[WorkLifeBalance]]=3,"Good","Excellent")))</f>
        <v>Fair</v>
      </c>
    </row>
    <row r="891" spans="1:37" x14ac:dyDescent="0.3">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c r="AJ891" t="str">
        <f>IF(Table1[[#This Row],[Column1]]&lt;=30,"18-30",IF(Table1[[#This Row],[Column1]]&lt;=50,"31-50","51+"))</f>
        <v>18-30</v>
      </c>
      <c r="AK891" t="str">
        <f>IF(Table1[[#This Row],[WorkLifeBalance]]=1,"Poor",IF(Table1[[#This Row],[WorkLifeBalance]]=2,"Fair",IF(Table1[[#This Row],[WorkLifeBalance]]=3,"Good","Excellent")))</f>
        <v>Fair</v>
      </c>
    </row>
    <row r="892" spans="1:37" x14ac:dyDescent="0.3">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c r="AJ892" t="str">
        <f>IF(Table1[[#This Row],[Column1]]&lt;=30,"18-30",IF(Table1[[#This Row],[Column1]]&lt;=50,"31-50","51+"))</f>
        <v>51+</v>
      </c>
      <c r="AK892" t="str">
        <f>IF(Table1[[#This Row],[WorkLifeBalance]]=1,"Poor",IF(Table1[[#This Row],[WorkLifeBalance]]=2,"Fair",IF(Table1[[#This Row],[WorkLifeBalance]]=3,"Good","Excellent")))</f>
        <v>Poor</v>
      </c>
    </row>
    <row r="893" spans="1:37" x14ac:dyDescent="0.3">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c r="AJ893" t="str">
        <f>IF(Table1[[#This Row],[Column1]]&lt;=30,"18-30",IF(Table1[[#This Row],[Column1]]&lt;=50,"31-50","51+"))</f>
        <v>31-50</v>
      </c>
      <c r="AK893" t="str">
        <f>IF(Table1[[#This Row],[WorkLifeBalance]]=1,"Poor",IF(Table1[[#This Row],[WorkLifeBalance]]=2,"Fair",IF(Table1[[#This Row],[WorkLifeBalance]]=3,"Good","Excellent")))</f>
        <v>Good</v>
      </c>
    </row>
    <row r="894" spans="1:37" x14ac:dyDescent="0.3">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c r="AJ894" t="str">
        <f>IF(Table1[[#This Row],[Column1]]&lt;=30,"18-30",IF(Table1[[#This Row],[Column1]]&lt;=50,"31-50","51+"))</f>
        <v>18-30</v>
      </c>
      <c r="AK894" t="str">
        <f>IF(Table1[[#This Row],[WorkLifeBalance]]=1,"Poor",IF(Table1[[#This Row],[WorkLifeBalance]]=2,"Fair",IF(Table1[[#This Row],[WorkLifeBalance]]=3,"Good","Excellent")))</f>
        <v>Excellent</v>
      </c>
    </row>
    <row r="895" spans="1:37" x14ac:dyDescent="0.3">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c r="AJ895" t="str">
        <f>IF(Table1[[#This Row],[Column1]]&lt;=30,"18-30",IF(Table1[[#This Row],[Column1]]&lt;=50,"31-50","51+"))</f>
        <v>18-30</v>
      </c>
      <c r="AK895" t="str">
        <f>IF(Table1[[#This Row],[WorkLifeBalance]]=1,"Poor",IF(Table1[[#This Row],[WorkLifeBalance]]=2,"Fair",IF(Table1[[#This Row],[WorkLifeBalance]]=3,"Good","Excellent")))</f>
        <v>Good</v>
      </c>
    </row>
    <row r="896" spans="1:37" x14ac:dyDescent="0.3">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c r="AJ896" t="str">
        <f>IF(Table1[[#This Row],[Column1]]&lt;=30,"18-30",IF(Table1[[#This Row],[Column1]]&lt;=50,"31-50","51+"))</f>
        <v>51+</v>
      </c>
      <c r="AK896" t="str">
        <f>IF(Table1[[#This Row],[WorkLifeBalance]]=1,"Poor",IF(Table1[[#This Row],[WorkLifeBalance]]=2,"Fair",IF(Table1[[#This Row],[WorkLifeBalance]]=3,"Good","Excellent")))</f>
        <v>Good</v>
      </c>
    </row>
    <row r="897" spans="1:37" x14ac:dyDescent="0.3">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c r="AJ897" t="str">
        <f>IF(Table1[[#This Row],[Column1]]&lt;=30,"18-30",IF(Table1[[#This Row],[Column1]]&lt;=50,"31-50","51+"))</f>
        <v>31-50</v>
      </c>
      <c r="AK897" t="str">
        <f>IF(Table1[[#This Row],[WorkLifeBalance]]=1,"Poor",IF(Table1[[#This Row],[WorkLifeBalance]]=2,"Fair",IF(Table1[[#This Row],[WorkLifeBalance]]=3,"Good","Excellent")))</f>
        <v>Fair</v>
      </c>
    </row>
    <row r="898" spans="1:37" x14ac:dyDescent="0.3">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c r="AJ898" t="str">
        <f>IF(Table1[[#This Row],[Column1]]&lt;=30,"18-30",IF(Table1[[#This Row],[Column1]]&lt;=50,"31-50","51+"))</f>
        <v>31-50</v>
      </c>
      <c r="AK898" t="str">
        <f>IF(Table1[[#This Row],[WorkLifeBalance]]=1,"Poor",IF(Table1[[#This Row],[WorkLifeBalance]]=2,"Fair",IF(Table1[[#This Row],[WorkLifeBalance]]=3,"Good","Excellent")))</f>
        <v>Good</v>
      </c>
    </row>
    <row r="899" spans="1:37" x14ac:dyDescent="0.3">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c r="AJ899" t="str">
        <f>IF(Table1[[#This Row],[Column1]]&lt;=30,"18-30",IF(Table1[[#This Row],[Column1]]&lt;=50,"31-50","51+"))</f>
        <v>51+</v>
      </c>
      <c r="AK899" t="str">
        <f>IF(Table1[[#This Row],[WorkLifeBalance]]=1,"Poor",IF(Table1[[#This Row],[WorkLifeBalance]]=2,"Fair",IF(Table1[[#This Row],[WorkLifeBalance]]=3,"Good","Excellent")))</f>
        <v>Good</v>
      </c>
    </row>
    <row r="900" spans="1:37" x14ac:dyDescent="0.3">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c r="AJ900" t="str">
        <f>IF(Table1[[#This Row],[Column1]]&lt;=30,"18-30",IF(Table1[[#This Row],[Column1]]&lt;=50,"31-50","51+"))</f>
        <v>31-50</v>
      </c>
      <c r="AK900" t="str">
        <f>IF(Table1[[#This Row],[WorkLifeBalance]]=1,"Poor",IF(Table1[[#This Row],[WorkLifeBalance]]=2,"Fair",IF(Table1[[#This Row],[WorkLifeBalance]]=3,"Good","Excellent")))</f>
        <v>Good</v>
      </c>
    </row>
    <row r="901" spans="1:37" x14ac:dyDescent="0.3">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c r="AJ901" t="str">
        <f>IF(Table1[[#This Row],[Column1]]&lt;=30,"18-30",IF(Table1[[#This Row],[Column1]]&lt;=50,"31-50","51+"))</f>
        <v>31-50</v>
      </c>
      <c r="AK901" t="str">
        <f>IF(Table1[[#This Row],[WorkLifeBalance]]=1,"Poor",IF(Table1[[#This Row],[WorkLifeBalance]]=2,"Fair",IF(Table1[[#This Row],[WorkLifeBalance]]=3,"Good","Excellent")))</f>
        <v>Excellent</v>
      </c>
    </row>
    <row r="902" spans="1:37" x14ac:dyDescent="0.3">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c r="AJ902" t="str">
        <f>IF(Table1[[#This Row],[Column1]]&lt;=30,"18-30",IF(Table1[[#This Row],[Column1]]&lt;=50,"31-50","51+"))</f>
        <v>31-50</v>
      </c>
      <c r="AK902" t="str">
        <f>IF(Table1[[#This Row],[WorkLifeBalance]]=1,"Poor",IF(Table1[[#This Row],[WorkLifeBalance]]=2,"Fair",IF(Table1[[#This Row],[WorkLifeBalance]]=3,"Good","Excellent")))</f>
        <v>Fair</v>
      </c>
    </row>
    <row r="903" spans="1:37" x14ac:dyDescent="0.3">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c r="AJ903" t="str">
        <f>IF(Table1[[#This Row],[Column1]]&lt;=30,"18-30",IF(Table1[[#This Row],[Column1]]&lt;=50,"31-50","51+"))</f>
        <v>31-50</v>
      </c>
      <c r="AK903" t="str">
        <f>IF(Table1[[#This Row],[WorkLifeBalance]]=1,"Poor",IF(Table1[[#This Row],[WorkLifeBalance]]=2,"Fair",IF(Table1[[#This Row],[WorkLifeBalance]]=3,"Good","Excellent")))</f>
        <v>Fair</v>
      </c>
    </row>
    <row r="904" spans="1:37" x14ac:dyDescent="0.3">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c r="AJ904" t="str">
        <f>IF(Table1[[#This Row],[Column1]]&lt;=30,"18-30",IF(Table1[[#This Row],[Column1]]&lt;=50,"31-50","51+"))</f>
        <v>18-30</v>
      </c>
      <c r="AK904" t="str">
        <f>IF(Table1[[#This Row],[WorkLifeBalance]]=1,"Poor",IF(Table1[[#This Row],[WorkLifeBalance]]=2,"Fair",IF(Table1[[#This Row],[WorkLifeBalance]]=3,"Good","Excellent")))</f>
        <v>Good</v>
      </c>
    </row>
    <row r="905" spans="1:37" x14ac:dyDescent="0.3">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c r="AJ905" t="str">
        <f>IF(Table1[[#This Row],[Column1]]&lt;=30,"18-30",IF(Table1[[#This Row],[Column1]]&lt;=50,"31-50","51+"))</f>
        <v>18-30</v>
      </c>
      <c r="AK905" t="str">
        <f>IF(Table1[[#This Row],[WorkLifeBalance]]=1,"Poor",IF(Table1[[#This Row],[WorkLifeBalance]]=2,"Fair",IF(Table1[[#This Row],[WorkLifeBalance]]=3,"Good","Excellent")))</f>
        <v>Good</v>
      </c>
    </row>
    <row r="906" spans="1:37" x14ac:dyDescent="0.3">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c r="AJ906" t="str">
        <f>IF(Table1[[#This Row],[Column1]]&lt;=30,"18-30",IF(Table1[[#This Row],[Column1]]&lt;=50,"31-50","51+"))</f>
        <v>31-50</v>
      </c>
      <c r="AK906" t="str">
        <f>IF(Table1[[#This Row],[WorkLifeBalance]]=1,"Poor",IF(Table1[[#This Row],[WorkLifeBalance]]=2,"Fair",IF(Table1[[#This Row],[WorkLifeBalance]]=3,"Good","Excellent")))</f>
        <v>Excellent</v>
      </c>
    </row>
    <row r="907" spans="1:37" x14ac:dyDescent="0.3">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c r="AJ907" t="str">
        <f>IF(Table1[[#This Row],[Column1]]&lt;=30,"18-30",IF(Table1[[#This Row],[Column1]]&lt;=50,"31-50","51+"))</f>
        <v>18-30</v>
      </c>
      <c r="AK907" t="str">
        <f>IF(Table1[[#This Row],[WorkLifeBalance]]=1,"Poor",IF(Table1[[#This Row],[WorkLifeBalance]]=2,"Fair",IF(Table1[[#This Row],[WorkLifeBalance]]=3,"Good","Excellent")))</f>
        <v>Fair</v>
      </c>
    </row>
    <row r="908" spans="1:37" x14ac:dyDescent="0.3">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c r="AJ908" t="str">
        <f>IF(Table1[[#This Row],[Column1]]&lt;=30,"18-30",IF(Table1[[#This Row],[Column1]]&lt;=50,"31-50","51+"))</f>
        <v>31-50</v>
      </c>
      <c r="AK908" t="str">
        <f>IF(Table1[[#This Row],[WorkLifeBalance]]=1,"Poor",IF(Table1[[#This Row],[WorkLifeBalance]]=2,"Fair",IF(Table1[[#This Row],[WorkLifeBalance]]=3,"Good","Excellent")))</f>
        <v>Fair</v>
      </c>
    </row>
    <row r="909" spans="1:37" x14ac:dyDescent="0.3">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c r="AJ909" t="str">
        <f>IF(Table1[[#This Row],[Column1]]&lt;=30,"18-30",IF(Table1[[#This Row],[Column1]]&lt;=50,"31-50","51+"))</f>
        <v>31-50</v>
      </c>
      <c r="AK909" t="str">
        <f>IF(Table1[[#This Row],[WorkLifeBalance]]=1,"Poor",IF(Table1[[#This Row],[WorkLifeBalance]]=2,"Fair",IF(Table1[[#This Row],[WorkLifeBalance]]=3,"Good","Excellent")))</f>
        <v>Good</v>
      </c>
    </row>
    <row r="910" spans="1:37" x14ac:dyDescent="0.3">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c r="AJ910" t="str">
        <f>IF(Table1[[#This Row],[Column1]]&lt;=30,"18-30",IF(Table1[[#This Row],[Column1]]&lt;=50,"31-50","51+"))</f>
        <v>31-50</v>
      </c>
      <c r="AK910" t="str">
        <f>IF(Table1[[#This Row],[WorkLifeBalance]]=1,"Poor",IF(Table1[[#This Row],[WorkLifeBalance]]=2,"Fair",IF(Table1[[#This Row],[WorkLifeBalance]]=3,"Good","Excellent")))</f>
        <v>Good</v>
      </c>
    </row>
    <row r="911" spans="1:37" x14ac:dyDescent="0.3">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c r="AJ911" t="str">
        <f>IF(Table1[[#This Row],[Column1]]&lt;=30,"18-30",IF(Table1[[#This Row],[Column1]]&lt;=50,"31-50","51+"))</f>
        <v>18-30</v>
      </c>
      <c r="AK911" t="str">
        <f>IF(Table1[[#This Row],[WorkLifeBalance]]=1,"Poor",IF(Table1[[#This Row],[WorkLifeBalance]]=2,"Fair",IF(Table1[[#This Row],[WorkLifeBalance]]=3,"Good","Excellent")))</f>
        <v>Good</v>
      </c>
    </row>
    <row r="912" spans="1:37" x14ac:dyDescent="0.3">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c r="AJ912" t="str">
        <f>IF(Table1[[#This Row],[Column1]]&lt;=30,"18-30",IF(Table1[[#This Row],[Column1]]&lt;=50,"31-50","51+"))</f>
        <v>18-30</v>
      </c>
      <c r="AK912" t="str">
        <f>IF(Table1[[#This Row],[WorkLifeBalance]]=1,"Poor",IF(Table1[[#This Row],[WorkLifeBalance]]=2,"Fair",IF(Table1[[#This Row],[WorkLifeBalance]]=3,"Good","Excellent")))</f>
        <v>Good</v>
      </c>
    </row>
    <row r="913" spans="1:37" x14ac:dyDescent="0.3">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c r="AJ913" t="str">
        <f>IF(Table1[[#This Row],[Column1]]&lt;=30,"18-30",IF(Table1[[#This Row],[Column1]]&lt;=50,"31-50","51+"))</f>
        <v>18-30</v>
      </c>
      <c r="AK913" t="str">
        <f>IF(Table1[[#This Row],[WorkLifeBalance]]=1,"Poor",IF(Table1[[#This Row],[WorkLifeBalance]]=2,"Fair",IF(Table1[[#This Row],[WorkLifeBalance]]=3,"Good","Excellent")))</f>
        <v>Good</v>
      </c>
    </row>
    <row r="914" spans="1:37" x14ac:dyDescent="0.3">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c r="AJ914" t="str">
        <f>IF(Table1[[#This Row],[Column1]]&lt;=30,"18-30",IF(Table1[[#This Row],[Column1]]&lt;=50,"31-50","51+"))</f>
        <v>18-30</v>
      </c>
      <c r="AK914" t="str">
        <f>IF(Table1[[#This Row],[WorkLifeBalance]]=1,"Poor",IF(Table1[[#This Row],[WorkLifeBalance]]=2,"Fair",IF(Table1[[#This Row],[WorkLifeBalance]]=3,"Good","Excellent")))</f>
        <v>Fair</v>
      </c>
    </row>
    <row r="915" spans="1:37" x14ac:dyDescent="0.3">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c r="AJ915" t="str">
        <f>IF(Table1[[#This Row],[Column1]]&lt;=30,"18-30",IF(Table1[[#This Row],[Column1]]&lt;=50,"31-50","51+"))</f>
        <v>31-50</v>
      </c>
      <c r="AK915" t="str">
        <f>IF(Table1[[#This Row],[WorkLifeBalance]]=1,"Poor",IF(Table1[[#This Row],[WorkLifeBalance]]=2,"Fair",IF(Table1[[#This Row],[WorkLifeBalance]]=3,"Good","Excellent")))</f>
        <v>Good</v>
      </c>
    </row>
    <row r="916" spans="1:37" x14ac:dyDescent="0.3">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c r="AJ916" t="str">
        <f>IF(Table1[[#This Row],[Column1]]&lt;=30,"18-30",IF(Table1[[#This Row],[Column1]]&lt;=50,"31-50","51+"))</f>
        <v>51+</v>
      </c>
      <c r="AK916" t="str">
        <f>IF(Table1[[#This Row],[WorkLifeBalance]]=1,"Poor",IF(Table1[[#This Row],[WorkLifeBalance]]=2,"Fair",IF(Table1[[#This Row],[WorkLifeBalance]]=3,"Good","Excellent")))</f>
        <v>Good</v>
      </c>
    </row>
    <row r="917" spans="1:37" x14ac:dyDescent="0.3">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c r="AJ917" t="str">
        <f>IF(Table1[[#This Row],[Column1]]&lt;=30,"18-30",IF(Table1[[#This Row],[Column1]]&lt;=50,"31-50","51+"))</f>
        <v>18-30</v>
      </c>
      <c r="AK917" t="str">
        <f>IF(Table1[[#This Row],[WorkLifeBalance]]=1,"Poor",IF(Table1[[#This Row],[WorkLifeBalance]]=2,"Fair",IF(Table1[[#This Row],[WorkLifeBalance]]=3,"Good","Excellent")))</f>
        <v>Poor</v>
      </c>
    </row>
    <row r="918" spans="1:37" x14ac:dyDescent="0.3">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c r="AJ918" t="str">
        <f>IF(Table1[[#This Row],[Column1]]&lt;=30,"18-30",IF(Table1[[#This Row],[Column1]]&lt;=50,"31-50","51+"))</f>
        <v>31-50</v>
      </c>
      <c r="AK918" t="str">
        <f>IF(Table1[[#This Row],[WorkLifeBalance]]=1,"Poor",IF(Table1[[#This Row],[WorkLifeBalance]]=2,"Fair",IF(Table1[[#This Row],[WorkLifeBalance]]=3,"Good","Excellent")))</f>
        <v>Good</v>
      </c>
    </row>
    <row r="919" spans="1:37" x14ac:dyDescent="0.3">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c r="AJ919" t="str">
        <f>IF(Table1[[#This Row],[Column1]]&lt;=30,"18-30",IF(Table1[[#This Row],[Column1]]&lt;=50,"31-50","51+"))</f>
        <v>31-50</v>
      </c>
      <c r="AK919" t="str">
        <f>IF(Table1[[#This Row],[WorkLifeBalance]]=1,"Poor",IF(Table1[[#This Row],[WorkLifeBalance]]=2,"Fair",IF(Table1[[#This Row],[WorkLifeBalance]]=3,"Good","Excellent")))</f>
        <v>Good</v>
      </c>
    </row>
    <row r="920" spans="1:37" x14ac:dyDescent="0.3">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c r="AJ920" t="str">
        <f>IF(Table1[[#This Row],[Column1]]&lt;=30,"18-30",IF(Table1[[#This Row],[Column1]]&lt;=50,"31-50","51+"))</f>
        <v>51+</v>
      </c>
      <c r="AK920" t="str">
        <f>IF(Table1[[#This Row],[WorkLifeBalance]]=1,"Poor",IF(Table1[[#This Row],[WorkLifeBalance]]=2,"Fair",IF(Table1[[#This Row],[WorkLifeBalance]]=3,"Good","Excellent")))</f>
        <v>Fair</v>
      </c>
    </row>
    <row r="921" spans="1:37" x14ac:dyDescent="0.3">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c r="AJ921" t="str">
        <f>IF(Table1[[#This Row],[Column1]]&lt;=30,"18-30",IF(Table1[[#This Row],[Column1]]&lt;=50,"31-50","51+"))</f>
        <v>51+</v>
      </c>
      <c r="AK921" t="str">
        <f>IF(Table1[[#This Row],[WorkLifeBalance]]=1,"Poor",IF(Table1[[#This Row],[WorkLifeBalance]]=2,"Fair",IF(Table1[[#This Row],[WorkLifeBalance]]=3,"Good","Excellent")))</f>
        <v>Fair</v>
      </c>
    </row>
    <row r="922" spans="1:37" x14ac:dyDescent="0.3">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c r="AJ922" t="str">
        <f>IF(Table1[[#This Row],[Column1]]&lt;=30,"18-30",IF(Table1[[#This Row],[Column1]]&lt;=50,"31-50","51+"))</f>
        <v>31-50</v>
      </c>
      <c r="AK922" t="str">
        <f>IF(Table1[[#This Row],[WorkLifeBalance]]=1,"Poor",IF(Table1[[#This Row],[WorkLifeBalance]]=2,"Fair",IF(Table1[[#This Row],[WorkLifeBalance]]=3,"Good","Excellent")))</f>
        <v>Excellent</v>
      </c>
    </row>
    <row r="923" spans="1:37" x14ac:dyDescent="0.3">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c r="AJ923" t="str">
        <f>IF(Table1[[#This Row],[Column1]]&lt;=30,"18-30",IF(Table1[[#This Row],[Column1]]&lt;=50,"31-50","51+"))</f>
        <v>18-30</v>
      </c>
      <c r="AK923" t="str">
        <f>IF(Table1[[#This Row],[WorkLifeBalance]]=1,"Poor",IF(Table1[[#This Row],[WorkLifeBalance]]=2,"Fair",IF(Table1[[#This Row],[WorkLifeBalance]]=3,"Good","Excellent")))</f>
        <v>Fair</v>
      </c>
    </row>
    <row r="924" spans="1:37" x14ac:dyDescent="0.3">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c r="AJ924" t="str">
        <f>IF(Table1[[#This Row],[Column1]]&lt;=30,"18-30",IF(Table1[[#This Row],[Column1]]&lt;=50,"31-50","51+"))</f>
        <v>31-50</v>
      </c>
      <c r="AK924" t="str">
        <f>IF(Table1[[#This Row],[WorkLifeBalance]]=1,"Poor",IF(Table1[[#This Row],[WorkLifeBalance]]=2,"Fair",IF(Table1[[#This Row],[WorkLifeBalance]]=3,"Good","Excellent")))</f>
        <v>Fair</v>
      </c>
    </row>
    <row r="925" spans="1:37" x14ac:dyDescent="0.3">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c r="AJ925" t="str">
        <f>IF(Table1[[#This Row],[Column1]]&lt;=30,"18-30",IF(Table1[[#This Row],[Column1]]&lt;=50,"31-50","51+"))</f>
        <v>31-50</v>
      </c>
      <c r="AK925" t="str">
        <f>IF(Table1[[#This Row],[WorkLifeBalance]]=1,"Poor",IF(Table1[[#This Row],[WorkLifeBalance]]=2,"Fair",IF(Table1[[#This Row],[WorkLifeBalance]]=3,"Good","Excellent")))</f>
        <v>Excellent</v>
      </c>
    </row>
    <row r="926" spans="1:37" x14ac:dyDescent="0.3">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c r="AJ926" t="str">
        <f>IF(Table1[[#This Row],[Column1]]&lt;=30,"18-30",IF(Table1[[#This Row],[Column1]]&lt;=50,"31-50","51+"))</f>
        <v>31-50</v>
      </c>
      <c r="AK926" t="str">
        <f>IF(Table1[[#This Row],[WorkLifeBalance]]=1,"Poor",IF(Table1[[#This Row],[WorkLifeBalance]]=2,"Fair",IF(Table1[[#This Row],[WorkLifeBalance]]=3,"Good","Excellent")))</f>
        <v>Good</v>
      </c>
    </row>
    <row r="927" spans="1:37" x14ac:dyDescent="0.3">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c r="AJ927" t="str">
        <f>IF(Table1[[#This Row],[Column1]]&lt;=30,"18-30",IF(Table1[[#This Row],[Column1]]&lt;=50,"31-50","51+"))</f>
        <v>31-50</v>
      </c>
      <c r="AK927" t="str">
        <f>IF(Table1[[#This Row],[WorkLifeBalance]]=1,"Poor",IF(Table1[[#This Row],[WorkLifeBalance]]=2,"Fair",IF(Table1[[#This Row],[WorkLifeBalance]]=3,"Good","Excellent")))</f>
        <v>Good</v>
      </c>
    </row>
    <row r="928" spans="1:37" x14ac:dyDescent="0.3">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c r="AJ928" t="str">
        <f>IF(Table1[[#This Row],[Column1]]&lt;=30,"18-30",IF(Table1[[#This Row],[Column1]]&lt;=50,"31-50","51+"))</f>
        <v>31-50</v>
      </c>
      <c r="AK928" t="str">
        <f>IF(Table1[[#This Row],[WorkLifeBalance]]=1,"Poor",IF(Table1[[#This Row],[WorkLifeBalance]]=2,"Fair",IF(Table1[[#This Row],[WorkLifeBalance]]=3,"Good","Excellent")))</f>
        <v>Excellent</v>
      </c>
    </row>
    <row r="929" spans="1:37" x14ac:dyDescent="0.3">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c r="AJ929" t="str">
        <f>IF(Table1[[#This Row],[Column1]]&lt;=30,"18-30",IF(Table1[[#This Row],[Column1]]&lt;=50,"31-50","51+"))</f>
        <v>31-50</v>
      </c>
      <c r="AK929" t="str">
        <f>IF(Table1[[#This Row],[WorkLifeBalance]]=1,"Poor",IF(Table1[[#This Row],[WorkLifeBalance]]=2,"Fair",IF(Table1[[#This Row],[WorkLifeBalance]]=3,"Good","Excellent")))</f>
        <v>Good</v>
      </c>
    </row>
    <row r="930" spans="1:37" x14ac:dyDescent="0.3">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c r="AJ930" t="str">
        <f>IF(Table1[[#This Row],[Column1]]&lt;=30,"18-30",IF(Table1[[#This Row],[Column1]]&lt;=50,"31-50","51+"))</f>
        <v>31-50</v>
      </c>
      <c r="AK930" t="str">
        <f>IF(Table1[[#This Row],[WorkLifeBalance]]=1,"Poor",IF(Table1[[#This Row],[WorkLifeBalance]]=2,"Fair",IF(Table1[[#This Row],[WorkLifeBalance]]=3,"Good","Excellent")))</f>
        <v>Good</v>
      </c>
    </row>
    <row r="931" spans="1:37" x14ac:dyDescent="0.3">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c r="AJ931" t="str">
        <f>IF(Table1[[#This Row],[Column1]]&lt;=30,"18-30",IF(Table1[[#This Row],[Column1]]&lt;=50,"31-50","51+"))</f>
        <v>18-30</v>
      </c>
      <c r="AK931" t="str">
        <f>IF(Table1[[#This Row],[WorkLifeBalance]]=1,"Poor",IF(Table1[[#This Row],[WorkLifeBalance]]=2,"Fair",IF(Table1[[#This Row],[WorkLifeBalance]]=3,"Good","Excellent")))</f>
        <v>Good</v>
      </c>
    </row>
    <row r="932" spans="1:37" x14ac:dyDescent="0.3">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c r="AJ932" t="str">
        <f>IF(Table1[[#This Row],[Column1]]&lt;=30,"18-30",IF(Table1[[#This Row],[Column1]]&lt;=50,"31-50","51+"))</f>
        <v>51+</v>
      </c>
      <c r="AK932" t="str">
        <f>IF(Table1[[#This Row],[WorkLifeBalance]]=1,"Poor",IF(Table1[[#This Row],[WorkLifeBalance]]=2,"Fair",IF(Table1[[#This Row],[WorkLifeBalance]]=3,"Good","Excellent")))</f>
        <v>Fair</v>
      </c>
    </row>
    <row r="933" spans="1:37" x14ac:dyDescent="0.3">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c r="AJ933" t="str">
        <f>IF(Table1[[#This Row],[Column1]]&lt;=30,"18-30",IF(Table1[[#This Row],[Column1]]&lt;=50,"31-50","51+"))</f>
        <v>18-30</v>
      </c>
      <c r="AK933" t="str">
        <f>IF(Table1[[#This Row],[WorkLifeBalance]]=1,"Poor",IF(Table1[[#This Row],[WorkLifeBalance]]=2,"Fair",IF(Table1[[#This Row],[WorkLifeBalance]]=3,"Good","Excellent")))</f>
        <v>Good</v>
      </c>
    </row>
    <row r="934" spans="1:37" x14ac:dyDescent="0.3">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c r="AJ934" t="str">
        <f>IF(Table1[[#This Row],[Column1]]&lt;=30,"18-30",IF(Table1[[#This Row],[Column1]]&lt;=50,"31-50","51+"))</f>
        <v>18-30</v>
      </c>
      <c r="AK934" t="str">
        <f>IF(Table1[[#This Row],[WorkLifeBalance]]=1,"Poor",IF(Table1[[#This Row],[WorkLifeBalance]]=2,"Fair",IF(Table1[[#This Row],[WorkLifeBalance]]=3,"Good","Excellent")))</f>
        <v>Good</v>
      </c>
    </row>
    <row r="935" spans="1:37" x14ac:dyDescent="0.3">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c r="AJ935" t="str">
        <f>IF(Table1[[#This Row],[Column1]]&lt;=30,"18-30",IF(Table1[[#This Row],[Column1]]&lt;=50,"31-50","51+"))</f>
        <v>18-30</v>
      </c>
      <c r="AK935" t="str">
        <f>IF(Table1[[#This Row],[WorkLifeBalance]]=1,"Poor",IF(Table1[[#This Row],[WorkLifeBalance]]=2,"Fair",IF(Table1[[#This Row],[WorkLifeBalance]]=3,"Good","Excellent")))</f>
        <v>Fair</v>
      </c>
    </row>
    <row r="936" spans="1:37" x14ac:dyDescent="0.3">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c r="AJ936" t="str">
        <f>IF(Table1[[#This Row],[Column1]]&lt;=30,"18-30",IF(Table1[[#This Row],[Column1]]&lt;=50,"31-50","51+"))</f>
        <v>18-30</v>
      </c>
      <c r="AK936" t="str">
        <f>IF(Table1[[#This Row],[WorkLifeBalance]]=1,"Poor",IF(Table1[[#This Row],[WorkLifeBalance]]=2,"Fair",IF(Table1[[#This Row],[WorkLifeBalance]]=3,"Good","Excellent")))</f>
        <v>Fair</v>
      </c>
    </row>
    <row r="937" spans="1:37" x14ac:dyDescent="0.3">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c r="AJ937" t="str">
        <f>IF(Table1[[#This Row],[Column1]]&lt;=30,"18-30",IF(Table1[[#This Row],[Column1]]&lt;=50,"31-50","51+"))</f>
        <v>31-50</v>
      </c>
      <c r="AK937" t="str">
        <f>IF(Table1[[#This Row],[WorkLifeBalance]]=1,"Poor",IF(Table1[[#This Row],[WorkLifeBalance]]=2,"Fair",IF(Table1[[#This Row],[WorkLifeBalance]]=3,"Good","Excellent")))</f>
        <v>Excellent</v>
      </c>
    </row>
    <row r="938" spans="1:37" x14ac:dyDescent="0.3">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c r="AJ938" t="str">
        <f>IF(Table1[[#This Row],[Column1]]&lt;=30,"18-30",IF(Table1[[#This Row],[Column1]]&lt;=50,"31-50","51+"))</f>
        <v>31-50</v>
      </c>
      <c r="AK938" t="str">
        <f>IF(Table1[[#This Row],[WorkLifeBalance]]=1,"Poor",IF(Table1[[#This Row],[WorkLifeBalance]]=2,"Fair",IF(Table1[[#This Row],[WorkLifeBalance]]=3,"Good","Excellent")))</f>
        <v>Good</v>
      </c>
    </row>
    <row r="939" spans="1:37" x14ac:dyDescent="0.3">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c r="AJ939" t="str">
        <f>IF(Table1[[#This Row],[Column1]]&lt;=30,"18-30",IF(Table1[[#This Row],[Column1]]&lt;=50,"31-50","51+"))</f>
        <v>31-50</v>
      </c>
      <c r="AK939" t="str">
        <f>IF(Table1[[#This Row],[WorkLifeBalance]]=1,"Poor",IF(Table1[[#This Row],[WorkLifeBalance]]=2,"Fair",IF(Table1[[#This Row],[WorkLifeBalance]]=3,"Good","Excellent")))</f>
        <v>Good</v>
      </c>
    </row>
    <row r="940" spans="1:37" x14ac:dyDescent="0.3">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c r="AJ940" t="str">
        <f>IF(Table1[[#This Row],[Column1]]&lt;=30,"18-30",IF(Table1[[#This Row],[Column1]]&lt;=50,"31-50","51+"))</f>
        <v>51+</v>
      </c>
      <c r="AK940" t="str">
        <f>IF(Table1[[#This Row],[WorkLifeBalance]]=1,"Poor",IF(Table1[[#This Row],[WorkLifeBalance]]=2,"Fair",IF(Table1[[#This Row],[WorkLifeBalance]]=3,"Good","Excellent")))</f>
        <v>Good</v>
      </c>
    </row>
    <row r="941" spans="1:37" x14ac:dyDescent="0.3">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c r="AJ941" t="str">
        <f>IF(Table1[[#This Row],[Column1]]&lt;=30,"18-30",IF(Table1[[#This Row],[Column1]]&lt;=50,"31-50","51+"))</f>
        <v>31-50</v>
      </c>
      <c r="AK941" t="str">
        <f>IF(Table1[[#This Row],[WorkLifeBalance]]=1,"Poor",IF(Table1[[#This Row],[WorkLifeBalance]]=2,"Fair",IF(Table1[[#This Row],[WorkLifeBalance]]=3,"Good","Excellent")))</f>
        <v>Good</v>
      </c>
    </row>
    <row r="942" spans="1:37" x14ac:dyDescent="0.3">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c r="AJ942" t="str">
        <f>IF(Table1[[#This Row],[Column1]]&lt;=30,"18-30",IF(Table1[[#This Row],[Column1]]&lt;=50,"31-50","51+"))</f>
        <v>31-50</v>
      </c>
      <c r="AK942" t="str">
        <f>IF(Table1[[#This Row],[WorkLifeBalance]]=1,"Poor",IF(Table1[[#This Row],[WorkLifeBalance]]=2,"Fair",IF(Table1[[#This Row],[WorkLifeBalance]]=3,"Good","Excellent")))</f>
        <v>Good</v>
      </c>
    </row>
    <row r="943" spans="1:37" x14ac:dyDescent="0.3">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c r="AJ943" t="str">
        <f>IF(Table1[[#This Row],[Column1]]&lt;=30,"18-30",IF(Table1[[#This Row],[Column1]]&lt;=50,"31-50","51+"))</f>
        <v>18-30</v>
      </c>
      <c r="AK943" t="str">
        <f>IF(Table1[[#This Row],[WorkLifeBalance]]=1,"Poor",IF(Table1[[#This Row],[WorkLifeBalance]]=2,"Fair",IF(Table1[[#This Row],[WorkLifeBalance]]=3,"Good","Excellent")))</f>
        <v>Good</v>
      </c>
    </row>
    <row r="944" spans="1:37" x14ac:dyDescent="0.3">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c r="AJ944" t="str">
        <f>IF(Table1[[#This Row],[Column1]]&lt;=30,"18-30",IF(Table1[[#This Row],[Column1]]&lt;=50,"31-50","51+"))</f>
        <v>31-50</v>
      </c>
      <c r="AK944" t="str">
        <f>IF(Table1[[#This Row],[WorkLifeBalance]]=1,"Poor",IF(Table1[[#This Row],[WorkLifeBalance]]=2,"Fair",IF(Table1[[#This Row],[WorkLifeBalance]]=3,"Good","Excellent")))</f>
        <v>Good</v>
      </c>
    </row>
    <row r="945" spans="1:37" x14ac:dyDescent="0.3">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c r="AJ945" t="str">
        <f>IF(Table1[[#This Row],[Column1]]&lt;=30,"18-30",IF(Table1[[#This Row],[Column1]]&lt;=50,"31-50","51+"))</f>
        <v>31-50</v>
      </c>
      <c r="AK945" t="str">
        <f>IF(Table1[[#This Row],[WorkLifeBalance]]=1,"Poor",IF(Table1[[#This Row],[WorkLifeBalance]]=2,"Fair",IF(Table1[[#This Row],[WorkLifeBalance]]=3,"Good","Excellent")))</f>
        <v>Excellent</v>
      </c>
    </row>
    <row r="946" spans="1:37" x14ac:dyDescent="0.3">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c r="AJ946" t="str">
        <f>IF(Table1[[#This Row],[Column1]]&lt;=30,"18-30",IF(Table1[[#This Row],[Column1]]&lt;=50,"31-50","51+"))</f>
        <v>18-30</v>
      </c>
      <c r="AK946" t="str">
        <f>IF(Table1[[#This Row],[WorkLifeBalance]]=1,"Poor",IF(Table1[[#This Row],[WorkLifeBalance]]=2,"Fair",IF(Table1[[#This Row],[WorkLifeBalance]]=3,"Good","Excellent")))</f>
        <v>Good</v>
      </c>
    </row>
    <row r="947" spans="1:37" x14ac:dyDescent="0.3">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c r="AJ947" t="str">
        <f>IF(Table1[[#This Row],[Column1]]&lt;=30,"18-30",IF(Table1[[#This Row],[Column1]]&lt;=50,"31-50","51+"))</f>
        <v>31-50</v>
      </c>
      <c r="AK947" t="str">
        <f>IF(Table1[[#This Row],[WorkLifeBalance]]=1,"Poor",IF(Table1[[#This Row],[WorkLifeBalance]]=2,"Fair",IF(Table1[[#This Row],[WorkLifeBalance]]=3,"Good","Excellent")))</f>
        <v>Good</v>
      </c>
    </row>
    <row r="948" spans="1:37" x14ac:dyDescent="0.3">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c r="AJ948" t="str">
        <f>IF(Table1[[#This Row],[Column1]]&lt;=30,"18-30",IF(Table1[[#This Row],[Column1]]&lt;=50,"31-50","51+"))</f>
        <v>31-50</v>
      </c>
      <c r="AK948" t="str">
        <f>IF(Table1[[#This Row],[WorkLifeBalance]]=1,"Poor",IF(Table1[[#This Row],[WorkLifeBalance]]=2,"Fair",IF(Table1[[#This Row],[WorkLifeBalance]]=3,"Good","Excellent")))</f>
        <v>Good</v>
      </c>
    </row>
    <row r="949" spans="1:37" x14ac:dyDescent="0.3">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c r="AJ949" t="str">
        <f>IF(Table1[[#This Row],[Column1]]&lt;=30,"18-30",IF(Table1[[#This Row],[Column1]]&lt;=50,"31-50","51+"))</f>
        <v>51+</v>
      </c>
      <c r="AK949" t="str">
        <f>IF(Table1[[#This Row],[WorkLifeBalance]]=1,"Poor",IF(Table1[[#This Row],[WorkLifeBalance]]=2,"Fair",IF(Table1[[#This Row],[WorkLifeBalance]]=3,"Good","Excellent")))</f>
        <v>Fair</v>
      </c>
    </row>
    <row r="950" spans="1:37" x14ac:dyDescent="0.3">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c r="AJ950" t="str">
        <f>IF(Table1[[#This Row],[Column1]]&lt;=30,"18-30",IF(Table1[[#This Row],[Column1]]&lt;=50,"31-50","51+"))</f>
        <v>18-30</v>
      </c>
      <c r="AK950" t="str">
        <f>IF(Table1[[#This Row],[WorkLifeBalance]]=1,"Poor",IF(Table1[[#This Row],[WorkLifeBalance]]=2,"Fair",IF(Table1[[#This Row],[WorkLifeBalance]]=3,"Good","Excellent")))</f>
        <v>Good</v>
      </c>
    </row>
    <row r="951" spans="1:37" x14ac:dyDescent="0.3">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c r="AJ951" t="str">
        <f>IF(Table1[[#This Row],[Column1]]&lt;=30,"18-30",IF(Table1[[#This Row],[Column1]]&lt;=50,"31-50","51+"))</f>
        <v>31-50</v>
      </c>
      <c r="AK951" t="str">
        <f>IF(Table1[[#This Row],[WorkLifeBalance]]=1,"Poor",IF(Table1[[#This Row],[WorkLifeBalance]]=2,"Fair",IF(Table1[[#This Row],[WorkLifeBalance]]=3,"Good","Excellent")))</f>
        <v>Good</v>
      </c>
    </row>
    <row r="952" spans="1:37" x14ac:dyDescent="0.3">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c r="AJ952" t="str">
        <f>IF(Table1[[#This Row],[Column1]]&lt;=30,"18-30",IF(Table1[[#This Row],[Column1]]&lt;=50,"31-50","51+"))</f>
        <v>31-50</v>
      </c>
      <c r="AK952" t="str">
        <f>IF(Table1[[#This Row],[WorkLifeBalance]]=1,"Poor",IF(Table1[[#This Row],[WorkLifeBalance]]=2,"Fair",IF(Table1[[#This Row],[WorkLifeBalance]]=3,"Good","Excellent")))</f>
        <v>Fair</v>
      </c>
    </row>
    <row r="953" spans="1:37" x14ac:dyDescent="0.3">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c r="AJ953" t="str">
        <f>IF(Table1[[#This Row],[Column1]]&lt;=30,"18-30",IF(Table1[[#This Row],[Column1]]&lt;=50,"31-50","51+"))</f>
        <v>31-50</v>
      </c>
      <c r="AK953" t="str">
        <f>IF(Table1[[#This Row],[WorkLifeBalance]]=1,"Poor",IF(Table1[[#This Row],[WorkLifeBalance]]=2,"Fair",IF(Table1[[#This Row],[WorkLifeBalance]]=3,"Good","Excellent")))</f>
        <v>Good</v>
      </c>
    </row>
    <row r="954" spans="1:37" x14ac:dyDescent="0.3">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c r="AJ954" t="str">
        <f>IF(Table1[[#This Row],[Column1]]&lt;=30,"18-30",IF(Table1[[#This Row],[Column1]]&lt;=50,"31-50","51+"))</f>
        <v>31-50</v>
      </c>
      <c r="AK954" t="str">
        <f>IF(Table1[[#This Row],[WorkLifeBalance]]=1,"Poor",IF(Table1[[#This Row],[WorkLifeBalance]]=2,"Fair",IF(Table1[[#This Row],[WorkLifeBalance]]=3,"Good","Excellent")))</f>
        <v>Excellent</v>
      </c>
    </row>
    <row r="955" spans="1:37" x14ac:dyDescent="0.3">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c r="AJ955" t="str">
        <f>IF(Table1[[#This Row],[Column1]]&lt;=30,"18-30",IF(Table1[[#This Row],[Column1]]&lt;=50,"31-50","51+"))</f>
        <v>31-50</v>
      </c>
      <c r="AK955" t="str">
        <f>IF(Table1[[#This Row],[WorkLifeBalance]]=1,"Poor",IF(Table1[[#This Row],[WorkLifeBalance]]=2,"Fair",IF(Table1[[#This Row],[WorkLifeBalance]]=3,"Good","Excellent")))</f>
        <v>Excellent</v>
      </c>
    </row>
    <row r="956" spans="1:37" x14ac:dyDescent="0.3">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c r="AJ956" t="str">
        <f>IF(Table1[[#This Row],[Column1]]&lt;=30,"18-30",IF(Table1[[#This Row],[Column1]]&lt;=50,"31-50","51+"))</f>
        <v>31-50</v>
      </c>
      <c r="AK956" t="str">
        <f>IF(Table1[[#This Row],[WorkLifeBalance]]=1,"Poor",IF(Table1[[#This Row],[WorkLifeBalance]]=2,"Fair",IF(Table1[[#This Row],[WorkLifeBalance]]=3,"Good","Excellent")))</f>
        <v>Fair</v>
      </c>
    </row>
    <row r="957" spans="1:37" x14ac:dyDescent="0.3">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c r="AJ957" t="str">
        <f>IF(Table1[[#This Row],[Column1]]&lt;=30,"18-30",IF(Table1[[#This Row],[Column1]]&lt;=50,"31-50","51+"))</f>
        <v>51+</v>
      </c>
      <c r="AK957" t="str">
        <f>IF(Table1[[#This Row],[WorkLifeBalance]]=1,"Poor",IF(Table1[[#This Row],[WorkLifeBalance]]=2,"Fair",IF(Table1[[#This Row],[WorkLifeBalance]]=3,"Good","Excellent")))</f>
        <v>Good</v>
      </c>
    </row>
    <row r="958" spans="1:37" x14ac:dyDescent="0.3">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c r="AJ958" t="str">
        <f>IF(Table1[[#This Row],[Column1]]&lt;=30,"18-30",IF(Table1[[#This Row],[Column1]]&lt;=50,"31-50","51+"))</f>
        <v>51+</v>
      </c>
      <c r="AK958" t="str">
        <f>IF(Table1[[#This Row],[WorkLifeBalance]]=1,"Poor",IF(Table1[[#This Row],[WorkLifeBalance]]=2,"Fair",IF(Table1[[#This Row],[WorkLifeBalance]]=3,"Good","Excellent")))</f>
        <v>Good</v>
      </c>
    </row>
    <row r="959" spans="1:37" x14ac:dyDescent="0.3">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c r="AJ959" t="str">
        <f>IF(Table1[[#This Row],[Column1]]&lt;=30,"18-30",IF(Table1[[#This Row],[Column1]]&lt;=50,"31-50","51+"))</f>
        <v>31-50</v>
      </c>
      <c r="AK959" t="str">
        <f>IF(Table1[[#This Row],[WorkLifeBalance]]=1,"Poor",IF(Table1[[#This Row],[WorkLifeBalance]]=2,"Fair",IF(Table1[[#This Row],[WorkLifeBalance]]=3,"Good","Excellent")))</f>
        <v>Good</v>
      </c>
    </row>
    <row r="960" spans="1:37" x14ac:dyDescent="0.3">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c r="AJ960" t="str">
        <f>IF(Table1[[#This Row],[Column1]]&lt;=30,"18-30",IF(Table1[[#This Row],[Column1]]&lt;=50,"31-50","51+"))</f>
        <v>31-50</v>
      </c>
      <c r="AK960" t="str">
        <f>IF(Table1[[#This Row],[WorkLifeBalance]]=1,"Poor",IF(Table1[[#This Row],[WorkLifeBalance]]=2,"Fair",IF(Table1[[#This Row],[WorkLifeBalance]]=3,"Good","Excellent")))</f>
        <v>Fair</v>
      </c>
    </row>
    <row r="961" spans="1:37" x14ac:dyDescent="0.3">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c r="AJ961" t="str">
        <f>IF(Table1[[#This Row],[Column1]]&lt;=30,"18-30",IF(Table1[[#This Row],[Column1]]&lt;=50,"31-50","51+"))</f>
        <v>31-50</v>
      </c>
      <c r="AK961" t="str">
        <f>IF(Table1[[#This Row],[WorkLifeBalance]]=1,"Poor",IF(Table1[[#This Row],[WorkLifeBalance]]=2,"Fair",IF(Table1[[#This Row],[WorkLifeBalance]]=3,"Good","Excellent")))</f>
        <v>Good</v>
      </c>
    </row>
    <row r="962" spans="1:37" x14ac:dyDescent="0.3">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c r="AJ962" t="str">
        <f>IF(Table1[[#This Row],[Column1]]&lt;=30,"18-30",IF(Table1[[#This Row],[Column1]]&lt;=50,"31-50","51+"))</f>
        <v>31-50</v>
      </c>
      <c r="AK962" t="str">
        <f>IF(Table1[[#This Row],[WorkLifeBalance]]=1,"Poor",IF(Table1[[#This Row],[WorkLifeBalance]]=2,"Fair",IF(Table1[[#This Row],[WorkLifeBalance]]=3,"Good","Excellent")))</f>
        <v>Good</v>
      </c>
    </row>
    <row r="963" spans="1:37" x14ac:dyDescent="0.3">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c r="AJ963" t="str">
        <f>IF(Table1[[#This Row],[Column1]]&lt;=30,"18-30",IF(Table1[[#This Row],[Column1]]&lt;=50,"31-50","51+"))</f>
        <v>31-50</v>
      </c>
      <c r="AK963" t="str">
        <f>IF(Table1[[#This Row],[WorkLifeBalance]]=1,"Poor",IF(Table1[[#This Row],[WorkLifeBalance]]=2,"Fair",IF(Table1[[#This Row],[WorkLifeBalance]]=3,"Good","Excellent")))</f>
        <v>Good</v>
      </c>
    </row>
    <row r="964" spans="1:37" x14ac:dyDescent="0.3">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c r="AJ964" t="str">
        <f>IF(Table1[[#This Row],[Column1]]&lt;=30,"18-30",IF(Table1[[#This Row],[Column1]]&lt;=50,"31-50","51+"))</f>
        <v>51+</v>
      </c>
      <c r="AK964" t="str">
        <f>IF(Table1[[#This Row],[WorkLifeBalance]]=1,"Poor",IF(Table1[[#This Row],[WorkLifeBalance]]=2,"Fair",IF(Table1[[#This Row],[WorkLifeBalance]]=3,"Good","Excellent")))</f>
        <v>Good</v>
      </c>
    </row>
    <row r="965" spans="1:37" x14ac:dyDescent="0.3">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c r="AJ965" t="str">
        <f>IF(Table1[[#This Row],[Column1]]&lt;=30,"18-30",IF(Table1[[#This Row],[Column1]]&lt;=50,"31-50","51+"))</f>
        <v>31-50</v>
      </c>
      <c r="AK965" t="str">
        <f>IF(Table1[[#This Row],[WorkLifeBalance]]=1,"Poor",IF(Table1[[#This Row],[WorkLifeBalance]]=2,"Fair",IF(Table1[[#This Row],[WorkLifeBalance]]=3,"Good","Excellent")))</f>
        <v>Good</v>
      </c>
    </row>
    <row r="966" spans="1:37" x14ac:dyDescent="0.3">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c r="AJ966" t="str">
        <f>IF(Table1[[#This Row],[Column1]]&lt;=30,"18-30",IF(Table1[[#This Row],[Column1]]&lt;=50,"31-50","51+"))</f>
        <v>31-50</v>
      </c>
      <c r="AK966" t="str">
        <f>IF(Table1[[#This Row],[WorkLifeBalance]]=1,"Poor",IF(Table1[[#This Row],[WorkLifeBalance]]=2,"Fair",IF(Table1[[#This Row],[WorkLifeBalance]]=3,"Good","Excellent")))</f>
        <v>Excellent</v>
      </c>
    </row>
    <row r="967" spans="1:37" x14ac:dyDescent="0.3">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c r="AJ967" t="str">
        <f>IF(Table1[[#This Row],[Column1]]&lt;=30,"18-30",IF(Table1[[#This Row],[Column1]]&lt;=50,"31-50","51+"))</f>
        <v>18-30</v>
      </c>
      <c r="AK967" t="str">
        <f>IF(Table1[[#This Row],[WorkLifeBalance]]=1,"Poor",IF(Table1[[#This Row],[WorkLifeBalance]]=2,"Fair",IF(Table1[[#This Row],[WorkLifeBalance]]=3,"Good","Excellent")))</f>
        <v>Fair</v>
      </c>
    </row>
    <row r="968" spans="1:37" x14ac:dyDescent="0.3">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c r="AJ968" t="str">
        <f>IF(Table1[[#This Row],[Column1]]&lt;=30,"18-30",IF(Table1[[#This Row],[Column1]]&lt;=50,"31-50","51+"))</f>
        <v>51+</v>
      </c>
      <c r="AK968" t="str">
        <f>IF(Table1[[#This Row],[WorkLifeBalance]]=1,"Poor",IF(Table1[[#This Row],[WorkLifeBalance]]=2,"Fair",IF(Table1[[#This Row],[WorkLifeBalance]]=3,"Good","Excellent")))</f>
        <v>Fair</v>
      </c>
    </row>
    <row r="969" spans="1:37" x14ac:dyDescent="0.3">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c r="AJ969" t="str">
        <f>IF(Table1[[#This Row],[Column1]]&lt;=30,"18-30",IF(Table1[[#This Row],[Column1]]&lt;=50,"31-50","51+"))</f>
        <v>31-50</v>
      </c>
      <c r="AK969" t="str">
        <f>IF(Table1[[#This Row],[WorkLifeBalance]]=1,"Poor",IF(Table1[[#This Row],[WorkLifeBalance]]=2,"Fair",IF(Table1[[#This Row],[WorkLifeBalance]]=3,"Good","Excellent")))</f>
        <v>Good</v>
      </c>
    </row>
    <row r="970" spans="1:37" x14ac:dyDescent="0.3">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c r="AJ970" t="str">
        <f>IF(Table1[[#This Row],[Column1]]&lt;=30,"18-30",IF(Table1[[#This Row],[Column1]]&lt;=50,"31-50","51+"))</f>
        <v>31-50</v>
      </c>
      <c r="AK970" t="str">
        <f>IF(Table1[[#This Row],[WorkLifeBalance]]=1,"Poor",IF(Table1[[#This Row],[WorkLifeBalance]]=2,"Fair",IF(Table1[[#This Row],[WorkLifeBalance]]=3,"Good","Excellent")))</f>
        <v>Fair</v>
      </c>
    </row>
    <row r="971" spans="1:37" x14ac:dyDescent="0.3">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c r="AJ971" t="str">
        <f>IF(Table1[[#This Row],[Column1]]&lt;=30,"18-30",IF(Table1[[#This Row],[Column1]]&lt;=50,"31-50","51+"))</f>
        <v>31-50</v>
      </c>
      <c r="AK971" t="str">
        <f>IF(Table1[[#This Row],[WorkLifeBalance]]=1,"Poor",IF(Table1[[#This Row],[WorkLifeBalance]]=2,"Fair",IF(Table1[[#This Row],[WorkLifeBalance]]=3,"Good","Excellent")))</f>
        <v>Good</v>
      </c>
    </row>
    <row r="972" spans="1:37" x14ac:dyDescent="0.3">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c r="AJ972" t="str">
        <f>IF(Table1[[#This Row],[Column1]]&lt;=30,"18-30",IF(Table1[[#This Row],[Column1]]&lt;=50,"31-50","51+"))</f>
        <v>18-30</v>
      </c>
      <c r="AK972" t="str">
        <f>IF(Table1[[#This Row],[WorkLifeBalance]]=1,"Poor",IF(Table1[[#This Row],[WorkLifeBalance]]=2,"Fair",IF(Table1[[#This Row],[WorkLifeBalance]]=3,"Good","Excellent")))</f>
        <v>Good</v>
      </c>
    </row>
    <row r="973" spans="1:37" x14ac:dyDescent="0.3">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c r="AJ973" t="str">
        <f>IF(Table1[[#This Row],[Column1]]&lt;=30,"18-30",IF(Table1[[#This Row],[Column1]]&lt;=50,"31-50","51+"))</f>
        <v>51+</v>
      </c>
      <c r="AK973" t="str">
        <f>IF(Table1[[#This Row],[WorkLifeBalance]]=1,"Poor",IF(Table1[[#This Row],[WorkLifeBalance]]=2,"Fair",IF(Table1[[#This Row],[WorkLifeBalance]]=3,"Good","Excellent")))</f>
        <v>Fair</v>
      </c>
    </row>
    <row r="974" spans="1:37" x14ac:dyDescent="0.3">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c r="AJ974" t="str">
        <f>IF(Table1[[#This Row],[Column1]]&lt;=30,"18-30",IF(Table1[[#This Row],[Column1]]&lt;=50,"31-50","51+"))</f>
        <v>18-30</v>
      </c>
      <c r="AK974" t="str">
        <f>IF(Table1[[#This Row],[WorkLifeBalance]]=1,"Poor",IF(Table1[[#This Row],[WorkLifeBalance]]=2,"Fair",IF(Table1[[#This Row],[WorkLifeBalance]]=3,"Good","Excellent")))</f>
        <v>Excellent</v>
      </c>
    </row>
    <row r="975" spans="1:37" x14ac:dyDescent="0.3">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c r="AJ975" t="str">
        <f>IF(Table1[[#This Row],[Column1]]&lt;=30,"18-30",IF(Table1[[#This Row],[Column1]]&lt;=50,"31-50","51+"))</f>
        <v>31-50</v>
      </c>
      <c r="AK975" t="str">
        <f>IF(Table1[[#This Row],[WorkLifeBalance]]=1,"Poor",IF(Table1[[#This Row],[WorkLifeBalance]]=2,"Fair",IF(Table1[[#This Row],[WorkLifeBalance]]=3,"Good","Excellent")))</f>
        <v>Good</v>
      </c>
    </row>
    <row r="976" spans="1:37" x14ac:dyDescent="0.3">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c r="AJ976" t="str">
        <f>IF(Table1[[#This Row],[Column1]]&lt;=30,"18-30",IF(Table1[[#This Row],[Column1]]&lt;=50,"31-50","51+"))</f>
        <v>18-30</v>
      </c>
      <c r="AK976" t="str">
        <f>IF(Table1[[#This Row],[WorkLifeBalance]]=1,"Poor",IF(Table1[[#This Row],[WorkLifeBalance]]=2,"Fair",IF(Table1[[#This Row],[WorkLifeBalance]]=3,"Good","Excellent")))</f>
        <v>Good</v>
      </c>
    </row>
    <row r="977" spans="1:37" x14ac:dyDescent="0.3">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c r="AJ977" t="str">
        <f>IF(Table1[[#This Row],[Column1]]&lt;=30,"18-30",IF(Table1[[#This Row],[Column1]]&lt;=50,"31-50","51+"))</f>
        <v>51+</v>
      </c>
      <c r="AK977" t="str">
        <f>IF(Table1[[#This Row],[WorkLifeBalance]]=1,"Poor",IF(Table1[[#This Row],[WorkLifeBalance]]=2,"Fair",IF(Table1[[#This Row],[WorkLifeBalance]]=3,"Good","Excellent")))</f>
        <v>Fair</v>
      </c>
    </row>
    <row r="978" spans="1:37" x14ac:dyDescent="0.3">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c r="AJ978" t="str">
        <f>IF(Table1[[#This Row],[Column1]]&lt;=30,"18-30",IF(Table1[[#This Row],[Column1]]&lt;=50,"31-50","51+"))</f>
        <v>51+</v>
      </c>
      <c r="AK978" t="str">
        <f>IF(Table1[[#This Row],[WorkLifeBalance]]=1,"Poor",IF(Table1[[#This Row],[WorkLifeBalance]]=2,"Fair",IF(Table1[[#This Row],[WorkLifeBalance]]=3,"Good","Excellent")))</f>
        <v>Good</v>
      </c>
    </row>
    <row r="979" spans="1:37" x14ac:dyDescent="0.3">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c r="AJ979" t="str">
        <f>IF(Table1[[#This Row],[Column1]]&lt;=30,"18-30",IF(Table1[[#This Row],[Column1]]&lt;=50,"31-50","51+"))</f>
        <v>31-50</v>
      </c>
      <c r="AK979" t="str">
        <f>IF(Table1[[#This Row],[WorkLifeBalance]]=1,"Poor",IF(Table1[[#This Row],[WorkLifeBalance]]=2,"Fair",IF(Table1[[#This Row],[WorkLifeBalance]]=3,"Good","Excellent")))</f>
        <v>Good</v>
      </c>
    </row>
    <row r="980" spans="1:37" x14ac:dyDescent="0.3">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c r="AJ980" t="str">
        <f>IF(Table1[[#This Row],[Column1]]&lt;=30,"18-30",IF(Table1[[#This Row],[Column1]]&lt;=50,"31-50","51+"))</f>
        <v>31-50</v>
      </c>
      <c r="AK980" t="str">
        <f>IF(Table1[[#This Row],[WorkLifeBalance]]=1,"Poor",IF(Table1[[#This Row],[WorkLifeBalance]]=2,"Fair",IF(Table1[[#This Row],[WorkLifeBalance]]=3,"Good","Excellent")))</f>
        <v>Good</v>
      </c>
    </row>
    <row r="981" spans="1:37" x14ac:dyDescent="0.3">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c r="AJ981" t="str">
        <f>IF(Table1[[#This Row],[Column1]]&lt;=30,"18-30",IF(Table1[[#This Row],[Column1]]&lt;=50,"31-50","51+"))</f>
        <v>31-50</v>
      </c>
      <c r="AK981" t="str">
        <f>IF(Table1[[#This Row],[WorkLifeBalance]]=1,"Poor",IF(Table1[[#This Row],[WorkLifeBalance]]=2,"Fair",IF(Table1[[#This Row],[WorkLifeBalance]]=3,"Good","Excellent")))</f>
        <v>Good</v>
      </c>
    </row>
    <row r="982" spans="1:37" x14ac:dyDescent="0.3">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c r="AJ982" t="str">
        <f>IF(Table1[[#This Row],[Column1]]&lt;=30,"18-30",IF(Table1[[#This Row],[Column1]]&lt;=50,"31-50","51+"))</f>
        <v>31-50</v>
      </c>
      <c r="AK982" t="str">
        <f>IF(Table1[[#This Row],[WorkLifeBalance]]=1,"Poor",IF(Table1[[#This Row],[WorkLifeBalance]]=2,"Fair",IF(Table1[[#This Row],[WorkLifeBalance]]=3,"Good","Excellent")))</f>
        <v>Excellent</v>
      </c>
    </row>
    <row r="983" spans="1:37" x14ac:dyDescent="0.3">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c r="AJ983" t="str">
        <f>IF(Table1[[#This Row],[Column1]]&lt;=30,"18-30",IF(Table1[[#This Row],[Column1]]&lt;=50,"31-50","51+"))</f>
        <v>31-50</v>
      </c>
      <c r="AK983" t="str">
        <f>IF(Table1[[#This Row],[WorkLifeBalance]]=1,"Poor",IF(Table1[[#This Row],[WorkLifeBalance]]=2,"Fair",IF(Table1[[#This Row],[WorkLifeBalance]]=3,"Good","Excellent")))</f>
        <v>Fair</v>
      </c>
    </row>
    <row r="984" spans="1:37" x14ac:dyDescent="0.3">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c r="AJ984" t="str">
        <f>IF(Table1[[#This Row],[Column1]]&lt;=30,"18-30",IF(Table1[[#This Row],[Column1]]&lt;=50,"31-50","51+"))</f>
        <v>31-50</v>
      </c>
      <c r="AK984" t="str">
        <f>IF(Table1[[#This Row],[WorkLifeBalance]]=1,"Poor",IF(Table1[[#This Row],[WorkLifeBalance]]=2,"Fair",IF(Table1[[#This Row],[WorkLifeBalance]]=3,"Good","Excellent")))</f>
        <v>Good</v>
      </c>
    </row>
    <row r="985" spans="1:37" x14ac:dyDescent="0.3">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c r="AJ985" t="str">
        <f>IF(Table1[[#This Row],[Column1]]&lt;=30,"18-30",IF(Table1[[#This Row],[Column1]]&lt;=50,"31-50","51+"))</f>
        <v>31-50</v>
      </c>
      <c r="AK985" t="str">
        <f>IF(Table1[[#This Row],[WorkLifeBalance]]=1,"Poor",IF(Table1[[#This Row],[WorkLifeBalance]]=2,"Fair",IF(Table1[[#This Row],[WorkLifeBalance]]=3,"Good","Excellent")))</f>
        <v>Excellent</v>
      </c>
    </row>
    <row r="986" spans="1:37" x14ac:dyDescent="0.3">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c r="AJ986" t="str">
        <f>IF(Table1[[#This Row],[Column1]]&lt;=30,"18-30",IF(Table1[[#This Row],[Column1]]&lt;=50,"31-50","51+"))</f>
        <v>18-30</v>
      </c>
      <c r="AK986" t="str">
        <f>IF(Table1[[#This Row],[WorkLifeBalance]]=1,"Poor",IF(Table1[[#This Row],[WorkLifeBalance]]=2,"Fair",IF(Table1[[#This Row],[WorkLifeBalance]]=3,"Good","Excellent")))</f>
        <v>Good</v>
      </c>
    </row>
    <row r="987" spans="1:37" x14ac:dyDescent="0.3">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c r="AJ987" t="str">
        <f>IF(Table1[[#This Row],[Column1]]&lt;=30,"18-30",IF(Table1[[#This Row],[Column1]]&lt;=50,"31-50","51+"))</f>
        <v>31-50</v>
      </c>
      <c r="AK987" t="str">
        <f>IF(Table1[[#This Row],[WorkLifeBalance]]=1,"Poor",IF(Table1[[#This Row],[WorkLifeBalance]]=2,"Fair",IF(Table1[[#This Row],[WorkLifeBalance]]=3,"Good","Excellent")))</f>
        <v>Fair</v>
      </c>
    </row>
    <row r="988" spans="1:37" x14ac:dyDescent="0.3">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c r="AJ988" t="str">
        <f>IF(Table1[[#This Row],[Column1]]&lt;=30,"18-30",IF(Table1[[#This Row],[Column1]]&lt;=50,"31-50","51+"))</f>
        <v>31-50</v>
      </c>
      <c r="AK988" t="str">
        <f>IF(Table1[[#This Row],[WorkLifeBalance]]=1,"Poor",IF(Table1[[#This Row],[WorkLifeBalance]]=2,"Fair",IF(Table1[[#This Row],[WorkLifeBalance]]=3,"Good","Excellent")))</f>
        <v>Excellent</v>
      </c>
    </row>
    <row r="989" spans="1:37" x14ac:dyDescent="0.3">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c r="AJ989" t="str">
        <f>IF(Table1[[#This Row],[Column1]]&lt;=30,"18-30",IF(Table1[[#This Row],[Column1]]&lt;=50,"31-50","51+"))</f>
        <v>51+</v>
      </c>
      <c r="AK989" t="str">
        <f>IF(Table1[[#This Row],[WorkLifeBalance]]=1,"Poor",IF(Table1[[#This Row],[WorkLifeBalance]]=2,"Fair",IF(Table1[[#This Row],[WorkLifeBalance]]=3,"Good","Excellent")))</f>
        <v>Good</v>
      </c>
    </row>
    <row r="990" spans="1:37" x14ac:dyDescent="0.3">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c r="AJ990" t="str">
        <f>IF(Table1[[#This Row],[Column1]]&lt;=30,"18-30",IF(Table1[[#This Row],[Column1]]&lt;=50,"31-50","51+"))</f>
        <v>31-50</v>
      </c>
      <c r="AK990" t="str">
        <f>IF(Table1[[#This Row],[WorkLifeBalance]]=1,"Poor",IF(Table1[[#This Row],[WorkLifeBalance]]=2,"Fair",IF(Table1[[#This Row],[WorkLifeBalance]]=3,"Good","Excellent")))</f>
        <v>Fair</v>
      </c>
    </row>
    <row r="991" spans="1:37" x14ac:dyDescent="0.3">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c r="AJ991" t="str">
        <f>IF(Table1[[#This Row],[Column1]]&lt;=30,"18-30",IF(Table1[[#This Row],[Column1]]&lt;=50,"31-50","51+"))</f>
        <v>31-50</v>
      </c>
      <c r="AK991" t="str">
        <f>IF(Table1[[#This Row],[WorkLifeBalance]]=1,"Poor",IF(Table1[[#This Row],[WorkLifeBalance]]=2,"Fair",IF(Table1[[#This Row],[WorkLifeBalance]]=3,"Good","Excellent")))</f>
        <v>Good</v>
      </c>
    </row>
    <row r="992" spans="1:37" x14ac:dyDescent="0.3">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c r="AJ992" t="str">
        <f>IF(Table1[[#This Row],[Column1]]&lt;=30,"18-30",IF(Table1[[#This Row],[Column1]]&lt;=50,"31-50","51+"))</f>
        <v>31-50</v>
      </c>
      <c r="AK992" t="str">
        <f>IF(Table1[[#This Row],[WorkLifeBalance]]=1,"Poor",IF(Table1[[#This Row],[WorkLifeBalance]]=2,"Fair",IF(Table1[[#This Row],[WorkLifeBalance]]=3,"Good","Excellent")))</f>
        <v>Excellent</v>
      </c>
    </row>
    <row r="993" spans="1:37" x14ac:dyDescent="0.3">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c r="AJ993" t="str">
        <f>IF(Table1[[#This Row],[Column1]]&lt;=30,"18-30",IF(Table1[[#This Row],[Column1]]&lt;=50,"31-50","51+"))</f>
        <v>31-50</v>
      </c>
      <c r="AK993" t="str">
        <f>IF(Table1[[#This Row],[WorkLifeBalance]]=1,"Poor",IF(Table1[[#This Row],[WorkLifeBalance]]=2,"Fair",IF(Table1[[#This Row],[WorkLifeBalance]]=3,"Good","Excellent")))</f>
        <v>Fair</v>
      </c>
    </row>
    <row r="994" spans="1:37" x14ac:dyDescent="0.3">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c r="AJ994" t="str">
        <f>IF(Table1[[#This Row],[Column1]]&lt;=30,"18-30",IF(Table1[[#This Row],[Column1]]&lt;=50,"31-50","51+"))</f>
        <v>31-50</v>
      </c>
      <c r="AK994" t="str">
        <f>IF(Table1[[#This Row],[WorkLifeBalance]]=1,"Poor",IF(Table1[[#This Row],[WorkLifeBalance]]=2,"Fair",IF(Table1[[#This Row],[WorkLifeBalance]]=3,"Good","Excellent")))</f>
        <v>Good</v>
      </c>
    </row>
    <row r="995" spans="1:37" x14ac:dyDescent="0.3">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c r="AJ995" t="str">
        <f>IF(Table1[[#This Row],[Column1]]&lt;=30,"18-30",IF(Table1[[#This Row],[Column1]]&lt;=50,"31-50","51+"))</f>
        <v>18-30</v>
      </c>
      <c r="AK995" t="str">
        <f>IF(Table1[[#This Row],[WorkLifeBalance]]=1,"Poor",IF(Table1[[#This Row],[WorkLifeBalance]]=2,"Fair",IF(Table1[[#This Row],[WorkLifeBalance]]=3,"Good","Excellent")))</f>
        <v>Fair</v>
      </c>
    </row>
    <row r="996" spans="1:37" x14ac:dyDescent="0.3">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c r="AJ996" t="str">
        <f>IF(Table1[[#This Row],[Column1]]&lt;=30,"18-30",IF(Table1[[#This Row],[Column1]]&lt;=50,"31-50","51+"))</f>
        <v>51+</v>
      </c>
      <c r="AK996" t="str">
        <f>IF(Table1[[#This Row],[WorkLifeBalance]]=1,"Poor",IF(Table1[[#This Row],[WorkLifeBalance]]=2,"Fair",IF(Table1[[#This Row],[WorkLifeBalance]]=3,"Good","Excellent")))</f>
        <v>Fair</v>
      </c>
    </row>
    <row r="997" spans="1:37" x14ac:dyDescent="0.3">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c r="AJ997" t="str">
        <f>IF(Table1[[#This Row],[Column1]]&lt;=30,"18-30",IF(Table1[[#This Row],[Column1]]&lt;=50,"31-50","51+"))</f>
        <v>31-50</v>
      </c>
      <c r="AK997" t="str">
        <f>IF(Table1[[#This Row],[WorkLifeBalance]]=1,"Poor",IF(Table1[[#This Row],[WorkLifeBalance]]=2,"Fair",IF(Table1[[#This Row],[WorkLifeBalance]]=3,"Good","Excellent")))</f>
        <v>Poor</v>
      </c>
    </row>
    <row r="998" spans="1:37" x14ac:dyDescent="0.3">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c r="AJ998" t="str">
        <f>IF(Table1[[#This Row],[Column1]]&lt;=30,"18-30",IF(Table1[[#This Row],[Column1]]&lt;=50,"31-50","51+"))</f>
        <v>18-30</v>
      </c>
      <c r="AK998" t="str">
        <f>IF(Table1[[#This Row],[WorkLifeBalance]]=1,"Poor",IF(Table1[[#This Row],[WorkLifeBalance]]=2,"Fair",IF(Table1[[#This Row],[WorkLifeBalance]]=3,"Good","Excellent")))</f>
        <v>Good</v>
      </c>
    </row>
    <row r="999" spans="1:37" x14ac:dyDescent="0.3">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c r="AJ999" t="str">
        <f>IF(Table1[[#This Row],[Column1]]&lt;=30,"18-30",IF(Table1[[#This Row],[Column1]]&lt;=50,"31-50","51+"))</f>
        <v>18-30</v>
      </c>
      <c r="AK999" t="str">
        <f>IF(Table1[[#This Row],[WorkLifeBalance]]=1,"Poor",IF(Table1[[#This Row],[WorkLifeBalance]]=2,"Fair",IF(Table1[[#This Row],[WorkLifeBalance]]=3,"Good","Excellent")))</f>
        <v>Good</v>
      </c>
    </row>
    <row r="1000" spans="1:37" x14ac:dyDescent="0.3">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c r="AJ1000" t="str">
        <f>IF(Table1[[#This Row],[Column1]]&lt;=30,"18-30",IF(Table1[[#This Row],[Column1]]&lt;=50,"31-50","51+"))</f>
        <v>18-30</v>
      </c>
      <c r="AK1000" t="str">
        <f>IF(Table1[[#This Row],[WorkLifeBalance]]=1,"Poor",IF(Table1[[#This Row],[WorkLifeBalance]]=2,"Fair",IF(Table1[[#This Row],[WorkLifeBalance]]=3,"Good","Excellent")))</f>
        <v>Good</v>
      </c>
    </row>
    <row r="1001" spans="1:37" x14ac:dyDescent="0.3">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c r="AJ1001" t="str">
        <f>IF(Table1[[#This Row],[Column1]]&lt;=30,"18-30",IF(Table1[[#This Row],[Column1]]&lt;=50,"31-50","51+"))</f>
        <v>31-50</v>
      </c>
      <c r="AK1001" t="str">
        <f>IF(Table1[[#This Row],[WorkLifeBalance]]=1,"Poor",IF(Table1[[#This Row],[WorkLifeBalance]]=2,"Fair",IF(Table1[[#This Row],[WorkLifeBalance]]=3,"Good","Excellent")))</f>
        <v>Good</v>
      </c>
    </row>
    <row r="1002" spans="1:37" x14ac:dyDescent="0.3">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c r="AJ1002" t="str">
        <f>IF(Table1[[#This Row],[Column1]]&lt;=30,"18-30",IF(Table1[[#This Row],[Column1]]&lt;=50,"31-50","51+"))</f>
        <v>51+</v>
      </c>
      <c r="AK1002" t="str">
        <f>IF(Table1[[#This Row],[WorkLifeBalance]]=1,"Poor",IF(Table1[[#This Row],[WorkLifeBalance]]=2,"Fair",IF(Table1[[#This Row],[WorkLifeBalance]]=3,"Good","Excellent")))</f>
        <v>Poor</v>
      </c>
    </row>
    <row r="1003" spans="1:37" x14ac:dyDescent="0.3">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c r="AJ1003" t="str">
        <f>IF(Table1[[#This Row],[Column1]]&lt;=30,"18-30",IF(Table1[[#This Row],[Column1]]&lt;=50,"31-50","51+"))</f>
        <v>31-50</v>
      </c>
      <c r="AK1003" t="str">
        <f>IF(Table1[[#This Row],[WorkLifeBalance]]=1,"Poor",IF(Table1[[#This Row],[WorkLifeBalance]]=2,"Fair",IF(Table1[[#This Row],[WorkLifeBalance]]=3,"Good","Excellent")))</f>
        <v>Good</v>
      </c>
    </row>
    <row r="1004" spans="1:37" x14ac:dyDescent="0.3">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c r="AJ1004" t="str">
        <f>IF(Table1[[#This Row],[Column1]]&lt;=30,"18-30",IF(Table1[[#This Row],[Column1]]&lt;=50,"31-50","51+"))</f>
        <v>31-50</v>
      </c>
      <c r="AK1004" t="str">
        <f>IF(Table1[[#This Row],[WorkLifeBalance]]=1,"Poor",IF(Table1[[#This Row],[WorkLifeBalance]]=2,"Fair",IF(Table1[[#This Row],[WorkLifeBalance]]=3,"Good","Excellent")))</f>
        <v>Good</v>
      </c>
    </row>
    <row r="1005" spans="1:37" x14ac:dyDescent="0.3">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c r="AJ1005" t="str">
        <f>IF(Table1[[#This Row],[Column1]]&lt;=30,"18-30",IF(Table1[[#This Row],[Column1]]&lt;=50,"31-50","51+"))</f>
        <v>18-30</v>
      </c>
      <c r="AK1005" t="str">
        <f>IF(Table1[[#This Row],[WorkLifeBalance]]=1,"Poor",IF(Table1[[#This Row],[WorkLifeBalance]]=2,"Fair",IF(Table1[[#This Row],[WorkLifeBalance]]=3,"Good","Excellent")))</f>
        <v>Fair</v>
      </c>
    </row>
    <row r="1006" spans="1:37" x14ac:dyDescent="0.3">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c r="AJ1006" t="str">
        <f>IF(Table1[[#This Row],[Column1]]&lt;=30,"18-30",IF(Table1[[#This Row],[Column1]]&lt;=50,"31-50","51+"))</f>
        <v>18-30</v>
      </c>
      <c r="AK1006" t="str">
        <f>IF(Table1[[#This Row],[WorkLifeBalance]]=1,"Poor",IF(Table1[[#This Row],[WorkLifeBalance]]=2,"Fair",IF(Table1[[#This Row],[WorkLifeBalance]]=3,"Good","Excellent")))</f>
        <v>Good</v>
      </c>
    </row>
    <row r="1007" spans="1:37" x14ac:dyDescent="0.3">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c r="AJ1007" t="str">
        <f>IF(Table1[[#This Row],[Column1]]&lt;=30,"18-30",IF(Table1[[#This Row],[Column1]]&lt;=50,"31-50","51+"))</f>
        <v>18-30</v>
      </c>
      <c r="AK1007" t="str">
        <f>IF(Table1[[#This Row],[WorkLifeBalance]]=1,"Poor",IF(Table1[[#This Row],[WorkLifeBalance]]=2,"Fair",IF(Table1[[#This Row],[WorkLifeBalance]]=3,"Good","Excellent")))</f>
        <v>Fair</v>
      </c>
    </row>
    <row r="1008" spans="1:37" x14ac:dyDescent="0.3">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c r="AJ1008" t="str">
        <f>IF(Table1[[#This Row],[Column1]]&lt;=30,"18-30",IF(Table1[[#This Row],[Column1]]&lt;=50,"31-50","51+"))</f>
        <v>31-50</v>
      </c>
      <c r="AK1008" t="str">
        <f>IF(Table1[[#This Row],[WorkLifeBalance]]=1,"Poor",IF(Table1[[#This Row],[WorkLifeBalance]]=2,"Fair",IF(Table1[[#This Row],[WorkLifeBalance]]=3,"Good","Excellent")))</f>
        <v>Good</v>
      </c>
    </row>
    <row r="1009" spans="1:37" x14ac:dyDescent="0.3">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c r="AJ1009" t="str">
        <f>IF(Table1[[#This Row],[Column1]]&lt;=30,"18-30",IF(Table1[[#This Row],[Column1]]&lt;=50,"31-50","51+"))</f>
        <v>18-30</v>
      </c>
      <c r="AK1009" t="str">
        <f>IF(Table1[[#This Row],[WorkLifeBalance]]=1,"Poor",IF(Table1[[#This Row],[WorkLifeBalance]]=2,"Fair",IF(Table1[[#This Row],[WorkLifeBalance]]=3,"Good","Excellent")))</f>
        <v>Good</v>
      </c>
    </row>
    <row r="1010" spans="1:37" x14ac:dyDescent="0.3">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c r="AJ1010" t="str">
        <f>IF(Table1[[#This Row],[Column1]]&lt;=30,"18-30",IF(Table1[[#This Row],[Column1]]&lt;=50,"31-50","51+"))</f>
        <v>51+</v>
      </c>
      <c r="AK1010" t="str">
        <f>IF(Table1[[#This Row],[WorkLifeBalance]]=1,"Poor",IF(Table1[[#This Row],[WorkLifeBalance]]=2,"Fair",IF(Table1[[#This Row],[WorkLifeBalance]]=3,"Good","Excellent")))</f>
        <v>Fair</v>
      </c>
    </row>
    <row r="1011" spans="1:37" x14ac:dyDescent="0.3">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c r="AJ1011" t="str">
        <f>IF(Table1[[#This Row],[Column1]]&lt;=30,"18-30",IF(Table1[[#This Row],[Column1]]&lt;=50,"31-50","51+"))</f>
        <v>51+</v>
      </c>
      <c r="AK1011" t="str">
        <f>IF(Table1[[#This Row],[WorkLifeBalance]]=1,"Poor",IF(Table1[[#This Row],[WorkLifeBalance]]=2,"Fair",IF(Table1[[#This Row],[WorkLifeBalance]]=3,"Good","Excellent")))</f>
        <v>Good</v>
      </c>
    </row>
    <row r="1012" spans="1:37" x14ac:dyDescent="0.3">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c r="AJ1012" t="str">
        <f>IF(Table1[[#This Row],[Column1]]&lt;=30,"18-30",IF(Table1[[#This Row],[Column1]]&lt;=50,"31-50","51+"))</f>
        <v>51+</v>
      </c>
      <c r="AK1012" t="str">
        <f>IF(Table1[[#This Row],[WorkLifeBalance]]=1,"Poor",IF(Table1[[#This Row],[WorkLifeBalance]]=2,"Fair",IF(Table1[[#This Row],[WorkLifeBalance]]=3,"Good","Excellent")))</f>
        <v>Excellent</v>
      </c>
    </row>
    <row r="1013" spans="1:37" x14ac:dyDescent="0.3">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c r="AJ1013" t="str">
        <f>IF(Table1[[#This Row],[Column1]]&lt;=30,"18-30",IF(Table1[[#This Row],[Column1]]&lt;=50,"31-50","51+"))</f>
        <v>31-50</v>
      </c>
      <c r="AK1013" t="str">
        <f>IF(Table1[[#This Row],[WorkLifeBalance]]=1,"Poor",IF(Table1[[#This Row],[WorkLifeBalance]]=2,"Fair",IF(Table1[[#This Row],[WorkLifeBalance]]=3,"Good","Excellent")))</f>
        <v>Good</v>
      </c>
    </row>
    <row r="1014" spans="1:37" x14ac:dyDescent="0.3">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c r="AJ1014" t="str">
        <f>IF(Table1[[#This Row],[Column1]]&lt;=30,"18-30",IF(Table1[[#This Row],[Column1]]&lt;=50,"31-50","51+"))</f>
        <v>31-50</v>
      </c>
      <c r="AK1014" t="str">
        <f>IF(Table1[[#This Row],[WorkLifeBalance]]=1,"Poor",IF(Table1[[#This Row],[WorkLifeBalance]]=2,"Fair",IF(Table1[[#This Row],[WorkLifeBalance]]=3,"Good","Excellent")))</f>
        <v>Good</v>
      </c>
    </row>
    <row r="1015" spans="1:37" x14ac:dyDescent="0.3">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c r="AJ1015" t="str">
        <f>IF(Table1[[#This Row],[Column1]]&lt;=30,"18-30",IF(Table1[[#This Row],[Column1]]&lt;=50,"31-50","51+"))</f>
        <v>18-30</v>
      </c>
      <c r="AK1015" t="str">
        <f>IF(Table1[[#This Row],[WorkLifeBalance]]=1,"Poor",IF(Table1[[#This Row],[WorkLifeBalance]]=2,"Fair",IF(Table1[[#This Row],[WorkLifeBalance]]=3,"Good","Excellent")))</f>
        <v>Good</v>
      </c>
    </row>
    <row r="1016" spans="1:37" x14ac:dyDescent="0.3">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c r="AJ1016" t="str">
        <f>IF(Table1[[#This Row],[Column1]]&lt;=30,"18-30",IF(Table1[[#This Row],[Column1]]&lt;=50,"31-50","51+"))</f>
        <v>31-50</v>
      </c>
      <c r="AK1016" t="str">
        <f>IF(Table1[[#This Row],[WorkLifeBalance]]=1,"Poor",IF(Table1[[#This Row],[WorkLifeBalance]]=2,"Fair",IF(Table1[[#This Row],[WorkLifeBalance]]=3,"Good","Excellent")))</f>
        <v>Excellent</v>
      </c>
    </row>
    <row r="1017" spans="1:37" x14ac:dyDescent="0.3">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c r="AJ1017" t="str">
        <f>IF(Table1[[#This Row],[Column1]]&lt;=30,"18-30",IF(Table1[[#This Row],[Column1]]&lt;=50,"31-50","51+"))</f>
        <v>31-50</v>
      </c>
      <c r="AK1017" t="str">
        <f>IF(Table1[[#This Row],[WorkLifeBalance]]=1,"Poor",IF(Table1[[#This Row],[WorkLifeBalance]]=2,"Fair",IF(Table1[[#This Row],[WorkLifeBalance]]=3,"Good","Excellent")))</f>
        <v>Good</v>
      </c>
    </row>
    <row r="1018" spans="1:37" x14ac:dyDescent="0.3">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c r="AJ1018" t="str">
        <f>IF(Table1[[#This Row],[Column1]]&lt;=30,"18-30",IF(Table1[[#This Row],[Column1]]&lt;=50,"31-50","51+"))</f>
        <v>31-50</v>
      </c>
      <c r="AK1018" t="str">
        <f>IF(Table1[[#This Row],[WorkLifeBalance]]=1,"Poor",IF(Table1[[#This Row],[WorkLifeBalance]]=2,"Fair",IF(Table1[[#This Row],[WorkLifeBalance]]=3,"Good","Excellent")))</f>
        <v>Excellent</v>
      </c>
    </row>
    <row r="1019" spans="1:37" x14ac:dyDescent="0.3">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c r="AJ1019" t="str">
        <f>IF(Table1[[#This Row],[Column1]]&lt;=30,"18-30",IF(Table1[[#This Row],[Column1]]&lt;=50,"31-50","51+"))</f>
        <v>18-30</v>
      </c>
      <c r="AK1019" t="str">
        <f>IF(Table1[[#This Row],[WorkLifeBalance]]=1,"Poor",IF(Table1[[#This Row],[WorkLifeBalance]]=2,"Fair",IF(Table1[[#This Row],[WorkLifeBalance]]=3,"Good","Excellent")))</f>
        <v>Excellent</v>
      </c>
    </row>
    <row r="1020" spans="1:37" x14ac:dyDescent="0.3">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c r="AJ1020" t="str">
        <f>IF(Table1[[#This Row],[Column1]]&lt;=30,"18-30",IF(Table1[[#This Row],[Column1]]&lt;=50,"31-50","51+"))</f>
        <v>31-50</v>
      </c>
      <c r="AK1020" t="str">
        <f>IF(Table1[[#This Row],[WorkLifeBalance]]=1,"Poor",IF(Table1[[#This Row],[WorkLifeBalance]]=2,"Fair",IF(Table1[[#This Row],[WorkLifeBalance]]=3,"Good","Excellent")))</f>
        <v>Fair</v>
      </c>
    </row>
    <row r="1021" spans="1:37" x14ac:dyDescent="0.3">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c r="AJ1021" t="str">
        <f>IF(Table1[[#This Row],[Column1]]&lt;=30,"18-30",IF(Table1[[#This Row],[Column1]]&lt;=50,"31-50","51+"))</f>
        <v>31-50</v>
      </c>
      <c r="AK1021" t="str">
        <f>IF(Table1[[#This Row],[WorkLifeBalance]]=1,"Poor",IF(Table1[[#This Row],[WorkLifeBalance]]=2,"Fair",IF(Table1[[#This Row],[WorkLifeBalance]]=3,"Good","Excellent")))</f>
        <v>Fair</v>
      </c>
    </row>
    <row r="1022" spans="1:37" x14ac:dyDescent="0.3">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c r="AJ1022" t="str">
        <f>IF(Table1[[#This Row],[Column1]]&lt;=30,"18-30",IF(Table1[[#This Row],[Column1]]&lt;=50,"31-50","51+"))</f>
        <v>31-50</v>
      </c>
      <c r="AK1022" t="str">
        <f>IF(Table1[[#This Row],[WorkLifeBalance]]=1,"Poor",IF(Table1[[#This Row],[WorkLifeBalance]]=2,"Fair",IF(Table1[[#This Row],[WorkLifeBalance]]=3,"Good","Excellent")))</f>
        <v>Fair</v>
      </c>
    </row>
    <row r="1023" spans="1:37" x14ac:dyDescent="0.3">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c r="AJ1023" t="str">
        <f>IF(Table1[[#This Row],[Column1]]&lt;=30,"18-30",IF(Table1[[#This Row],[Column1]]&lt;=50,"31-50","51+"))</f>
        <v>18-30</v>
      </c>
      <c r="AK1023" t="str">
        <f>IF(Table1[[#This Row],[WorkLifeBalance]]=1,"Poor",IF(Table1[[#This Row],[WorkLifeBalance]]=2,"Fair",IF(Table1[[#This Row],[WorkLifeBalance]]=3,"Good","Excellent")))</f>
        <v>Good</v>
      </c>
    </row>
    <row r="1024" spans="1:37" x14ac:dyDescent="0.3">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c r="AJ1024" t="str">
        <f>IF(Table1[[#This Row],[Column1]]&lt;=30,"18-30",IF(Table1[[#This Row],[Column1]]&lt;=50,"31-50","51+"))</f>
        <v>31-50</v>
      </c>
      <c r="AK1024" t="str">
        <f>IF(Table1[[#This Row],[WorkLifeBalance]]=1,"Poor",IF(Table1[[#This Row],[WorkLifeBalance]]=2,"Fair",IF(Table1[[#This Row],[WorkLifeBalance]]=3,"Good","Excellent")))</f>
        <v>Poor</v>
      </c>
    </row>
    <row r="1025" spans="1:37" x14ac:dyDescent="0.3">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c r="AJ1025" t="str">
        <f>IF(Table1[[#This Row],[Column1]]&lt;=30,"18-30",IF(Table1[[#This Row],[Column1]]&lt;=50,"31-50","51+"))</f>
        <v>51+</v>
      </c>
      <c r="AK1025" t="str">
        <f>IF(Table1[[#This Row],[WorkLifeBalance]]=1,"Poor",IF(Table1[[#This Row],[WorkLifeBalance]]=2,"Fair",IF(Table1[[#This Row],[WorkLifeBalance]]=3,"Good","Excellent")))</f>
        <v>Excellent</v>
      </c>
    </row>
    <row r="1026" spans="1:37" x14ac:dyDescent="0.3">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c r="AJ1026" t="str">
        <f>IF(Table1[[#This Row],[Column1]]&lt;=30,"18-30",IF(Table1[[#This Row],[Column1]]&lt;=50,"31-50","51+"))</f>
        <v>31-50</v>
      </c>
      <c r="AK1026" t="str">
        <f>IF(Table1[[#This Row],[WorkLifeBalance]]=1,"Poor",IF(Table1[[#This Row],[WorkLifeBalance]]=2,"Fair",IF(Table1[[#This Row],[WorkLifeBalance]]=3,"Good","Excellent")))</f>
        <v>Excellent</v>
      </c>
    </row>
    <row r="1027" spans="1:37" x14ac:dyDescent="0.3">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c r="AJ1027" t="str">
        <f>IF(Table1[[#This Row],[Column1]]&lt;=30,"18-30",IF(Table1[[#This Row],[Column1]]&lt;=50,"31-50","51+"))</f>
        <v>18-30</v>
      </c>
      <c r="AK1027" t="str">
        <f>IF(Table1[[#This Row],[WorkLifeBalance]]=1,"Poor",IF(Table1[[#This Row],[WorkLifeBalance]]=2,"Fair",IF(Table1[[#This Row],[WorkLifeBalance]]=3,"Good","Excellent")))</f>
        <v>Good</v>
      </c>
    </row>
    <row r="1028" spans="1:37" x14ac:dyDescent="0.3">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c r="AJ1028" t="str">
        <f>IF(Table1[[#This Row],[Column1]]&lt;=30,"18-30",IF(Table1[[#This Row],[Column1]]&lt;=50,"31-50","51+"))</f>
        <v>31-50</v>
      </c>
      <c r="AK1028" t="str">
        <f>IF(Table1[[#This Row],[WorkLifeBalance]]=1,"Poor",IF(Table1[[#This Row],[WorkLifeBalance]]=2,"Fair",IF(Table1[[#This Row],[WorkLifeBalance]]=3,"Good","Excellent")))</f>
        <v>Fair</v>
      </c>
    </row>
    <row r="1029" spans="1:37" x14ac:dyDescent="0.3">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c r="AJ1029" t="str">
        <f>IF(Table1[[#This Row],[Column1]]&lt;=30,"18-30",IF(Table1[[#This Row],[Column1]]&lt;=50,"31-50","51+"))</f>
        <v>31-50</v>
      </c>
      <c r="AK1029" t="str">
        <f>IF(Table1[[#This Row],[WorkLifeBalance]]=1,"Poor",IF(Table1[[#This Row],[WorkLifeBalance]]=2,"Fair",IF(Table1[[#This Row],[WorkLifeBalance]]=3,"Good","Excellent")))</f>
        <v>Fair</v>
      </c>
    </row>
    <row r="1030" spans="1:37" x14ac:dyDescent="0.3">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c r="AJ1030" t="str">
        <f>IF(Table1[[#This Row],[Column1]]&lt;=30,"18-30",IF(Table1[[#This Row],[Column1]]&lt;=50,"31-50","51+"))</f>
        <v>31-50</v>
      </c>
      <c r="AK1030" t="str">
        <f>IF(Table1[[#This Row],[WorkLifeBalance]]=1,"Poor",IF(Table1[[#This Row],[WorkLifeBalance]]=2,"Fair",IF(Table1[[#This Row],[WorkLifeBalance]]=3,"Good","Excellent")))</f>
        <v>Fair</v>
      </c>
    </row>
    <row r="1031" spans="1:37" x14ac:dyDescent="0.3">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c r="AJ1031" t="str">
        <f>IF(Table1[[#This Row],[Column1]]&lt;=30,"18-30",IF(Table1[[#This Row],[Column1]]&lt;=50,"31-50","51+"))</f>
        <v>31-50</v>
      </c>
      <c r="AK1031" t="str">
        <f>IF(Table1[[#This Row],[WorkLifeBalance]]=1,"Poor",IF(Table1[[#This Row],[WorkLifeBalance]]=2,"Fair",IF(Table1[[#This Row],[WorkLifeBalance]]=3,"Good","Excellent")))</f>
        <v>Excellent</v>
      </c>
    </row>
    <row r="1032" spans="1:37" x14ac:dyDescent="0.3">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c r="AJ1032" t="str">
        <f>IF(Table1[[#This Row],[Column1]]&lt;=30,"18-30",IF(Table1[[#This Row],[Column1]]&lt;=50,"31-50","51+"))</f>
        <v>31-50</v>
      </c>
      <c r="AK1032" t="str">
        <f>IF(Table1[[#This Row],[WorkLifeBalance]]=1,"Poor",IF(Table1[[#This Row],[WorkLifeBalance]]=2,"Fair",IF(Table1[[#This Row],[WorkLifeBalance]]=3,"Good","Excellent")))</f>
        <v>Good</v>
      </c>
    </row>
    <row r="1033" spans="1:37" x14ac:dyDescent="0.3">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c r="AJ1033" t="str">
        <f>IF(Table1[[#This Row],[Column1]]&lt;=30,"18-30",IF(Table1[[#This Row],[Column1]]&lt;=50,"31-50","51+"))</f>
        <v>31-50</v>
      </c>
      <c r="AK1033" t="str">
        <f>IF(Table1[[#This Row],[WorkLifeBalance]]=1,"Poor",IF(Table1[[#This Row],[WorkLifeBalance]]=2,"Fair",IF(Table1[[#This Row],[WorkLifeBalance]]=3,"Good","Excellent")))</f>
        <v>Excellent</v>
      </c>
    </row>
    <row r="1034" spans="1:37" x14ac:dyDescent="0.3">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c r="AJ1034" t="str">
        <f>IF(Table1[[#This Row],[Column1]]&lt;=30,"18-30",IF(Table1[[#This Row],[Column1]]&lt;=50,"31-50","51+"))</f>
        <v>31-50</v>
      </c>
      <c r="AK1034" t="str">
        <f>IF(Table1[[#This Row],[WorkLifeBalance]]=1,"Poor",IF(Table1[[#This Row],[WorkLifeBalance]]=2,"Fair",IF(Table1[[#This Row],[WorkLifeBalance]]=3,"Good","Excellent")))</f>
        <v>Excellent</v>
      </c>
    </row>
    <row r="1035" spans="1:37" x14ac:dyDescent="0.3">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c r="AJ1035" t="str">
        <f>IF(Table1[[#This Row],[Column1]]&lt;=30,"18-30",IF(Table1[[#This Row],[Column1]]&lt;=50,"31-50","51+"))</f>
        <v>31-50</v>
      </c>
      <c r="AK1035" t="str">
        <f>IF(Table1[[#This Row],[WorkLifeBalance]]=1,"Poor",IF(Table1[[#This Row],[WorkLifeBalance]]=2,"Fair",IF(Table1[[#This Row],[WorkLifeBalance]]=3,"Good","Excellent")))</f>
        <v>Good</v>
      </c>
    </row>
    <row r="1036" spans="1:37" x14ac:dyDescent="0.3">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c r="AJ1036" t="str">
        <f>IF(Table1[[#This Row],[Column1]]&lt;=30,"18-30",IF(Table1[[#This Row],[Column1]]&lt;=50,"31-50","51+"))</f>
        <v>31-50</v>
      </c>
      <c r="AK1036" t="str">
        <f>IF(Table1[[#This Row],[WorkLifeBalance]]=1,"Poor",IF(Table1[[#This Row],[WorkLifeBalance]]=2,"Fair",IF(Table1[[#This Row],[WorkLifeBalance]]=3,"Good","Excellent")))</f>
        <v>Good</v>
      </c>
    </row>
    <row r="1037" spans="1:37" x14ac:dyDescent="0.3">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c r="AJ1037" t="str">
        <f>IF(Table1[[#This Row],[Column1]]&lt;=30,"18-30",IF(Table1[[#This Row],[Column1]]&lt;=50,"31-50","51+"))</f>
        <v>31-50</v>
      </c>
      <c r="AK1037" t="str">
        <f>IF(Table1[[#This Row],[WorkLifeBalance]]=1,"Poor",IF(Table1[[#This Row],[WorkLifeBalance]]=2,"Fair",IF(Table1[[#This Row],[WorkLifeBalance]]=3,"Good","Excellent")))</f>
        <v>Good</v>
      </c>
    </row>
    <row r="1038" spans="1:37" x14ac:dyDescent="0.3">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c r="AJ1038" t="str">
        <f>IF(Table1[[#This Row],[Column1]]&lt;=30,"18-30",IF(Table1[[#This Row],[Column1]]&lt;=50,"31-50","51+"))</f>
        <v>31-50</v>
      </c>
      <c r="AK1038" t="str">
        <f>IF(Table1[[#This Row],[WorkLifeBalance]]=1,"Poor",IF(Table1[[#This Row],[WorkLifeBalance]]=2,"Fair",IF(Table1[[#This Row],[WorkLifeBalance]]=3,"Good","Excellent")))</f>
        <v>Poor</v>
      </c>
    </row>
    <row r="1039" spans="1:37" x14ac:dyDescent="0.3">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c r="AJ1039" t="str">
        <f>IF(Table1[[#This Row],[Column1]]&lt;=30,"18-30",IF(Table1[[#This Row],[Column1]]&lt;=50,"31-50","51+"))</f>
        <v>31-50</v>
      </c>
      <c r="AK1039" t="str">
        <f>IF(Table1[[#This Row],[WorkLifeBalance]]=1,"Poor",IF(Table1[[#This Row],[WorkLifeBalance]]=2,"Fair",IF(Table1[[#This Row],[WorkLifeBalance]]=3,"Good","Excellent")))</f>
        <v>Excellent</v>
      </c>
    </row>
    <row r="1040" spans="1:37" x14ac:dyDescent="0.3">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c r="AJ1040" t="str">
        <f>IF(Table1[[#This Row],[Column1]]&lt;=30,"18-30",IF(Table1[[#This Row],[Column1]]&lt;=50,"31-50","51+"))</f>
        <v>31-50</v>
      </c>
      <c r="AK1040" t="str">
        <f>IF(Table1[[#This Row],[WorkLifeBalance]]=1,"Poor",IF(Table1[[#This Row],[WorkLifeBalance]]=2,"Fair",IF(Table1[[#This Row],[WorkLifeBalance]]=3,"Good","Excellent")))</f>
        <v>Good</v>
      </c>
    </row>
    <row r="1041" spans="1:37" x14ac:dyDescent="0.3">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c r="AJ1041" t="str">
        <f>IF(Table1[[#This Row],[Column1]]&lt;=30,"18-30",IF(Table1[[#This Row],[Column1]]&lt;=50,"31-50","51+"))</f>
        <v>31-50</v>
      </c>
      <c r="AK1041" t="str">
        <f>IF(Table1[[#This Row],[WorkLifeBalance]]=1,"Poor",IF(Table1[[#This Row],[WorkLifeBalance]]=2,"Fair",IF(Table1[[#This Row],[WorkLifeBalance]]=3,"Good","Excellent")))</f>
        <v>Good</v>
      </c>
    </row>
    <row r="1042" spans="1:37" x14ac:dyDescent="0.3">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c r="AJ1042" t="str">
        <f>IF(Table1[[#This Row],[Column1]]&lt;=30,"18-30",IF(Table1[[#This Row],[Column1]]&lt;=50,"31-50","51+"))</f>
        <v>31-50</v>
      </c>
      <c r="AK1042" t="str">
        <f>IF(Table1[[#This Row],[WorkLifeBalance]]=1,"Poor",IF(Table1[[#This Row],[WorkLifeBalance]]=2,"Fair",IF(Table1[[#This Row],[WorkLifeBalance]]=3,"Good","Excellent")))</f>
        <v>Good</v>
      </c>
    </row>
    <row r="1043" spans="1:37" x14ac:dyDescent="0.3">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c r="AJ1043" t="str">
        <f>IF(Table1[[#This Row],[Column1]]&lt;=30,"18-30",IF(Table1[[#This Row],[Column1]]&lt;=50,"31-50","51+"))</f>
        <v>18-30</v>
      </c>
      <c r="AK1043" t="str">
        <f>IF(Table1[[#This Row],[WorkLifeBalance]]=1,"Poor",IF(Table1[[#This Row],[WorkLifeBalance]]=2,"Fair",IF(Table1[[#This Row],[WorkLifeBalance]]=3,"Good","Excellent")))</f>
        <v>Good</v>
      </c>
    </row>
    <row r="1044" spans="1:37" x14ac:dyDescent="0.3">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c r="AJ1044" t="str">
        <f>IF(Table1[[#This Row],[Column1]]&lt;=30,"18-30",IF(Table1[[#This Row],[Column1]]&lt;=50,"31-50","51+"))</f>
        <v>31-50</v>
      </c>
      <c r="AK1044" t="str">
        <f>IF(Table1[[#This Row],[WorkLifeBalance]]=1,"Poor",IF(Table1[[#This Row],[WorkLifeBalance]]=2,"Fair",IF(Table1[[#This Row],[WorkLifeBalance]]=3,"Good","Excellent")))</f>
        <v>Good</v>
      </c>
    </row>
    <row r="1045" spans="1:37" x14ac:dyDescent="0.3">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c r="AJ1045" t="str">
        <f>IF(Table1[[#This Row],[Column1]]&lt;=30,"18-30",IF(Table1[[#This Row],[Column1]]&lt;=50,"31-50","51+"))</f>
        <v>51+</v>
      </c>
      <c r="AK1045" t="str">
        <f>IF(Table1[[#This Row],[WorkLifeBalance]]=1,"Poor",IF(Table1[[#This Row],[WorkLifeBalance]]=2,"Fair",IF(Table1[[#This Row],[WorkLifeBalance]]=3,"Good","Excellent")))</f>
        <v>Fair</v>
      </c>
    </row>
    <row r="1046" spans="1:37" x14ac:dyDescent="0.3">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c r="AJ1046" t="str">
        <f>IF(Table1[[#This Row],[Column1]]&lt;=30,"18-30",IF(Table1[[#This Row],[Column1]]&lt;=50,"31-50","51+"))</f>
        <v>31-50</v>
      </c>
      <c r="AK1046" t="str">
        <f>IF(Table1[[#This Row],[WorkLifeBalance]]=1,"Poor",IF(Table1[[#This Row],[WorkLifeBalance]]=2,"Fair",IF(Table1[[#This Row],[WorkLifeBalance]]=3,"Good","Excellent")))</f>
        <v>Fair</v>
      </c>
    </row>
    <row r="1047" spans="1:37" x14ac:dyDescent="0.3">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c r="AJ1047" t="str">
        <f>IF(Table1[[#This Row],[Column1]]&lt;=30,"18-30",IF(Table1[[#This Row],[Column1]]&lt;=50,"31-50","51+"))</f>
        <v>31-50</v>
      </c>
      <c r="AK1047" t="str">
        <f>IF(Table1[[#This Row],[WorkLifeBalance]]=1,"Poor",IF(Table1[[#This Row],[WorkLifeBalance]]=2,"Fair",IF(Table1[[#This Row],[WorkLifeBalance]]=3,"Good","Excellent")))</f>
        <v>Excellent</v>
      </c>
    </row>
    <row r="1048" spans="1:37" x14ac:dyDescent="0.3">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c r="AJ1048" t="str">
        <f>IF(Table1[[#This Row],[Column1]]&lt;=30,"18-30",IF(Table1[[#This Row],[Column1]]&lt;=50,"31-50","51+"))</f>
        <v>31-50</v>
      </c>
      <c r="AK1048" t="str">
        <f>IF(Table1[[#This Row],[WorkLifeBalance]]=1,"Poor",IF(Table1[[#This Row],[WorkLifeBalance]]=2,"Fair",IF(Table1[[#This Row],[WorkLifeBalance]]=3,"Good","Excellent")))</f>
        <v>Fair</v>
      </c>
    </row>
    <row r="1049" spans="1:37" x14ac:dyDescent="0.3">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c r="AJ1049" t="str">
        <f>IF(Table1[[#This Row],[Column1]]&lt;=30,"18-30",IF(Table1[[#This Row],[Column1]]&lt;=50,"31-50","51+"))</f>
        <v>31-50</v>
      </c>
      <c r="AK1049" t="str">
        <f>IF(Table1[[#This Row],[WorkLifeBalance]]=1,"Poor",IF(Table1[[#This Row],[WorkLifeBalance]]=2,"Fair",IF(Table1[[#This Row],[WorkLifeBalance]]=3,"Good","Excellent")))</f>
        <v>Good</v>
      </c>
    </row>
    <row r="1050" spans="1:37" x14ac:dyDescent="0.3">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c r="AJ1050" t="str">
        <f>IF(Table1[[#This Row],[Column1]]&lt;=30,"18-30",IF(Table1[[#This Row],[Column1]]&lt;=50,"31-50","51+"))</f>
        <v>31-50</v>
      </c>
      <c r="AK1050" t="str">
        <f>IF(Table1[[#This Row],[WorkLifeBalance]]=1,"Poor",IF(Table1[[#This Row],[WorkLifeBalance]]=2,"Fair",IF(Table1[[#This Row],[WorkLifeBalance]]=3,"Good","Excellent")))</f>
        <v>Good</v>
      </c>
    </row>
    <row r="1051" spans="1:37" x14ac:dyDescent="0.3">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c r="AJ1051" t="str">
        <f>IF(Table1[[#This Row],[Column1]]&lt;=30,"18-30",IF(Table1[[#This Row],[Column1]]&lt;=50,"31-50","51+"))</f>
        <v>18-30</v>
      </c>
      <c r="AK1051" t="str">
        <f>IF(Table1[[#This Row],[WorkLifeBalance]]=1,"Poor",IF(Table1[[#This Row],[WorkLifeBalance]]=2,"Fair",IF(Table1[[#This Row],[WorkLifeBalance]]=3,"Good","Excellent")))</f>
        <v>Fair</v>
      </c>
    </row>
    <row r="1052" spans="1:37" x14ac:dyDescent="0.3">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c r="AJ1052" t="str">
        <f>IF(Table1[[#This Row],[Column1]]&lt;=30,"18-30",IF(Table1[[#This Row],[Column1]]&lt;=50,"31-50","51+"))</f>
        <v>31-50</v>
      </c>
      <c r="AK1052" t="str">
        <f>IF(Table1[[#This Row],[WorkLifeBalance]]=1,"Poor",IF(Table1[[#This Row],[WorkLifeBalance]]=2,"Fair",IF(Table1[[#This Row],[WorkLifeBalance]]=3,"Good","Excellent")))</f>
        <v>Good</v>
      </c>
    </row>
    <row r="1053" spans="1:37" x14ac:dyDescent="0.3">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c r="AJ1053" t="str">
        <f>IF(Table1[[#This Row],[Column1]]&lt;=30,"18-30",IF(Table1[[#This Row],[Column1]]&lt;=50,"31-50","51+"))</f>
        <v>31-50</v>
      </c>
      <c r="AK1053" t="str">
        <f>IF(Table1[[#This Row],[WorkLifeBalance]]=1,"Poor",IF(Table1[[#This Row],[WorkLifeBalance]]=2,"Fair",IF(Table1[[#This Row],[WorkLifeBalance]]=3,"Good","Excellent")))</f>
        <v>Fair</v>
      </c>
    </row>
    <row r="1054" spans="1:37" x14ac:dyDescent="0.3">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c r="AJ1054" t="str">
        <f>IF(Table1[[#This Row],[Column1]]&lt;=30,"18-30",IF(Table1[[#This Row],[Column1]]&lt;=50,"31-50","51+"))</f>
        <v>18-30</v>
      </c>
      <c r="AK1054" t="str">
        <f>IF(Table1[[#This Row],[WorkLifeBalance]]=1,"Poor",IF(Table1[[#This Row],[WorkLifeBalance]]=2,"Fair",IF(Table1[[#This Row],[WorkLifeBalance]]=3,"Good","Excellent")))</f>
        <v>Fair</v>
      </c>
    </row>
    <row r="1055" spans="1:37" x14ac:dyDescent="0.3">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c r="AJ1055" t="str">
        <f>IF(Table1[[#This Row],[Column1]]&lt;=30,"18-30",IF(Table1[[#This Row],[Column1]]&lt;=50,"31-50","51+"))</f>
        <v>51+</v>
      </c>
      <c r="AK1055" t="str">
        <f>IF(Table1[[#This Row],[WorkLifeBalance]]=1,"Poor",IF(Table1[[#This Row],[WorkLifeBalance]]=2,"Fair",IF(Table1[[#This Row],[WorkLifeBalance]]=3,"Good","Excellent")))</f>
        <v>Fair</v>
      </c>
    </row>
    <row r="1056" spans="1:37" x14ac:dyDescent="0.3">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c r="AJ1056" t="str">
        <f>IF(Table1[[#This Row],[Column1]]&lt;=30,"18-30",IF(Table1[[#This Row],[Column1]]&lt;=50,"31-50","51+"))</f>
        <v>31-50</v>
      </c>
      <c r="AK1056" t="str">
        <f>IF(Table1[[#This Row],[WorkLifeBalance]]=1,"Poor",IF(Table1[[#This Row],[WorkLifeBalance]]=2,"Fair",IF(Table1[[#This Row],[WorkLifeBalance]]=3,"Good","Excellent")))</f>
        <v>Good</v>
      </c>
    </row>
    <row r="1057" spans="1:37" x14ac:dyDescent="0.3">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c r="AJ1057" t="str">
        <f>IF(Table1[[#This Row],[Column1]]&lt;=30,"18-30",IF(Table1[[#This Row],[Column1]]&lt;=50,"31-50","51+"))</f>
        <v>31-50</v>
      </c>
      <c r="AK1057" t="str">
        <f>IF(Table1[[#This Row],[WorkLifeBalance]]=1,"Poor",IF(Table1[[#This Row],[WorkLifeBalance]]=2,"Fair",IF(Table1[[#This Row],[WorkLifeBalance]]=3,"Good","Excellent")))</f>
        <v>Fair</v>
      </c>
    </row>
    <row r="1058" spans="1:37" x14ac:dyDescent="0.3">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c r="AJ1058" t="str">
        <f>IF(Table1[[#This Row],[Column1]]&lt;=30,"18-30",IF(Table1[[#This Row],[Column1]]&lt;=50,"31-50","51+"))</f>
        <v>18-30</v>
      </c>
      <c r="AK1058" t="str">
        <f>IF(Table1[[#This Row],[WorkLifeBalance]]=1,"Poor",IF(Table1[[#This Row],[WorkLifeBalance]]=2,"Fair",IF(Table1[[#This Row],[WorkLifeBalance]]=3,"Good","Excellent")))</f>
        <v>Excellent</v>
      </c>
    </row>
    <row r="1059" spans="1:37" x14ac:dyDescent="0.3">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c r="AJ1059" t="str">
        <f>IF(Table1[[#This Row],[Column1]]&lt;=30,"18-30",IF(Table1[[#This Row],[Column1]]&lt;=50,"31-50","51+"))</f>
        <v>18-30</v>
      </c>
      <c r="AK1059" t="str">
        <f>IF(Table1[[#This Row],[WorkLifeBalance]]=1,"Poor",IF(Table1[[#This Row],[WorkLifeBalance]]=2,"Fair",IF(Table1[[#This Row],[WorkLifeBalance]]=3,"Good","Excellent")))</f>
        <v>Poor</v>
      </c>
    </row>
    <row r="1060" spans="1:37" x14ac:dyDescent="0.3">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c r="AJ1060" t="str">
        <f>IF(Table1[[#This Row],[Column1]]&lt;=30,"18-30",IF(Table1[[#This Row],[Column1]]&lt;=50,"31-50","51+"))</f>
        <v>31-50</v>
      </c>
      <c r="AK1060" t="str">
        <f>IF(Table1[[#This Row],[WorkLifeBalance]]=1,"Poor",IF(Table1[[#This Row],[WorkLifeBalance]]=2,"Fair",IF(Table1[[#This Row],[WorkLifeBalance]]=3,"Good","Excellent")))</f>
        <v>Excellent</v>
      </c>
    </row>
    <row r="1061" spans="1:37" x14ac:dyDescent="0.3">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c r="AJ1061" t="str">
        <f>IF(Table1[[#This Row],[Column1]]&lt;=30,"18-30",IF(Table1[[#This Row],[Column1]]&lt;=50,"31-50","51+"))</f>
        <v>31-50</v>
      </c>
      <c r="AK1061" t="str">
        <f>IF(Table1[[#This Row],[WorkLifeBalance]]=1,"Poor",IF(Table1[[#This Row],[WorkLifeBalance]]=2,"Fair",IF(Table1[[#This Row],[WorkLifeBalance]]=3,"Good","Excellent")))</f>
        <v>Good</v>
      </c>
    </row>
    <row r="1062" spans="1:37" x14ac:dyDescent="0.3">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c r="AJ1062" t="str">
        <f>IF(Table1[[#This Row],[Column1]]&lt;=30,"18-30",IF(Table1[[#This Row],[Column1]]&lt;=50,"31-50","51+"))</f>
        <v>18-30</v>
      </c>
      <c r="AK1062" t="str">
        <f>IF(Table1[[#This Row],[WorkLifeBalance]]=1,"Poor",IF(Table1[[#This Row],[WorkLifeBalance]]=2,"Fair",IF(Table1[[#This Row],[WorkLifeBalance]]=3,"Good","Excellent")))</f>
        <v>Fair</v>
      </c>
    </row>
    <row r="1063" spans="1:37" x14ac:dyDescent="0.3">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c r="AJ1063" t="str">
        <f>IF(Table1[[#This Row],[Column1]]&lt;=30,"18-30",IF(Table1[[#This Row],[Column1]]&lt;=50,"31-50","51+"))</f>
        <v>18-30</v>
      </c>
      <c r="AK1063" t="str">
        <f>IF(Table1[[#This Row],[WorkLifeBalance]]=1,"Poor",IF(Table1[[#This Row],[WorkLifeBalance]]=2,"Fair",IF(Table1[[#This Row],[WorkLifeBalance]]=3,"Good","Excellent")))</f>
        <v>Good</v>
      </c>
    </row>
    <row r="1064" spans="1:37" x14ac:dyDescent="0.3">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c r="AJ1064" t="str">
        <f>IF(Table1[[#This Row],[Column1]]&lt;=30,"18-30",IF(Table1[[#This Row],[Column1]]&lt;=50,"31-50","51+"))</f>
        <v>31-50</v>
      </c>
      <c r="AK1064" t="str">
        <f>IF(Table1[[#This Row],[WorkLifeBalance]]=1,"Poor",IF(Table1[[#This Row],[WorkLifeBalance]]=2,"Fair",IF(Table1[[#This Row],[WorkLifeBalance]]=3,"Good","Excellent")))</f>
        <v>Fair</v>
      </c>
    </row>
    <row r="1065" spans="1:37" x14ac:dyDescent="0.3">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c r="AJ1065" t="str">
        <f>IF(Table1[[#This Row],[Column1]]&lt;=30,"18-30",IF(Table1[[#This Row],[Column1]]&lt;=50,"31-50","51+"))</f>
        <v>18-30</v>
      </c>
      <c r="AK1065" t="str">
        <f>IF(Table1[[#This Row],[WorkLifeBalance]]=1,"Poor",IF(Table1[[#This Row],[WorkLifeBalance]]=2,"Fair",IF(Table1[[#This Row],[WorkLifeBalance]]=3,"Good","Excellent")))</f>
        <v>Good</v>
      </c>
    </row>
    <row r="1066" spans="1:37" x14ac:dyDescent="0.3">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c r="AJ1066" t="str">
        <f>IF(Table1[[#This Row],[Column1]]&lt;=30,"18-30",IF(Table1[[#This Row],[Column1]]&lt;=50,"31-50","51+"))</f>
        <v>18-30</v>
      </c>
      <c r="AK1066" t="str">
        <f>IF(Table1[[#This Row],[WorkLifeBalance]]=1,"Poor",IF(Table1[[#This Row],[WorkLifeBalance]]=2,"Fair",IF(Table1[[#This Row],[WorkLifeBalance]]=3,"Good","Excellent")))</f>
        <v>Excellent</v>
      </c>
    </row>
    <row r="1067" spans="1:37" x14ac:dyDescent="0.3">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c r="AJ1067" t="str">
        <f>IF(Table1[[#This Row],[Column1]]&lt;=30,"18-30",IF(Table1[[#This Row],[Column1]]&lt;=50,"31-50","51+"))</f>
        <v>51+</v>
      </c>
      <c r="AK1067" t="str">
        <f>IF(Table1[[#This Row],[WorkLifeBalance]]=1,"Poor",IF(Table1[[#This Row],[WorkLifeBalance]]=2,"Fair",IF(Table1[[#This Row],[WorkLifeBalance]]=3,"Good","Excellent")))</f>
        <v>Good</v>
      </c>
    </row>
    <row r="1068" spans="1:37" x14ac:dyDescent="0.3">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c r="AJ1068" t="str">
        <f>IF(Table1[[#This Row],[Column1]]&lt;=30,"18-30",IF(Table1[[#This Row],[Column1]]&lt;=50,"31-50","51+"))</f>
        <v>31-50</v>
      </c>
      <c r="AK1068" t="str">
        <f>IF(Table1[[#This Row],[WorkLifeBalance]]=1,"Poor",IF(Table1[[#This Row],[WorkLifeBalance]]=2,"Fair",IF(Table1[[#This Row],[WorkLifeBalance]]=3,"Good","Excellent")))</f>
        <v>Good</v>
      </c>
    </row>
    <row r="1069" spans="1:37" x14ac:dyDescent="0.3">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c r="AJ1069" t="str">
        <f>IF(Table1[[#This Row],[Column1]]&lt;=30,"18-30",IF(Table1[[#This Row],[Column1]]&lt;=50,"31-50","51+"))</f>
        <v>31-50</v>
      </c>
      <c r="AK1069" t="str">
        <f>IF(Table1[[#This Row],[WorkLifeBalance]]=1,"Poor",IF(Table1[[#This Row],[WorkLifeBalance]]=2,"Fair",IF(Table1[[#This Row],[WorkLifeBalance]]=3,"Good","Excellent")))</f>
        <v>Fair</v>
      </c>
    </row>
    <row r="1070" spans="1:37" x14ac:dyDescent="0.3">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c r="AJ1070" t="str">
        <f>IF(Table1[[#This Row],[Column1]]&lt;=30,"18-30",IF(Table1[[#This Row],[Column1]]&lt;=50,"31-50","51+"))</f>
        <v>18-30</v>
      </c>
      <c r="AK1070" t="str">
        <f>IF(Table1[[#This Row],[WorkLifeBalance]]=1,"Poor",IF(Table1[[#This Row],[WorkLifeBalance]]=2,"Fair",IF(Table1[[#This Row],[WorkLifeBalance]]=3,"Good","Excellent")))</f>
        <v>Fair</v>
      </c>
    </row>
    <row r="1071" spans="1:37" x14ac:dyDescent="0.3">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c r="AJ1071" t="str">
        <f>IF(Table1[[#This Row],[Column1]]&lt;=30,"18-30",IF(Table1[[#This Row],[Column1]]&lt;=50,"31-50","51+"))</f>
        <v>18-30</v>
      </c>
      <c r="AK1071" t="str">
        <f>IF(Table1[[#This Row],[WorkLifeBalance]]=1,"Poor",IF(Table1[[#This Row],[WorkLifeBalance]]=2,"Fair",IF(Table1[[#This Row],[WorkLifeBalance]]=3,"Good","Excellent")))</f>
        <v>Poor</v>
      </c>
    </row>
    <row r="1072" spans="1:37" x14ac:dyDescent="0.3">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c r="AJ1072" t="str">
        <f>IF(Table1[[#This Row],[Column1]]&lt;=30,"18-30",IF(Table1[[#This Row],[Column1]]&lt;=50,"31-50","51+"))</f>
        <v>18-30</v>
      </c>
      <c r="AK1072" t="str">
        <f>IF(Table1[[#This Row],[WorkLifeBalance]]=1,"Poor",IF(Table1[[#This Row],[WorkLifeBalance]]=2,"Fair",IF(Table1[[#This Row],[WorkLifeBalance]]=3,"Good","Excellent")))</f>
        <v>Good</v>
      </c>
    </row>
    <row r="1073" spans="1:37" x14ac:dyDescent="0.3">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c r="AJ1073" t="str">
        <f>IF(Table1[[#This Row],[Column1]]&lt;=30,"18-30",IF(Table1[[#This Row],[Column1]]&lt;=50,"31-50","51+"))</f>
        <v>31-50</v>
      </c>
      <c r="AK1073" t="str">
        <f>IF(Table1[[#This Row],[WorkLifeBalance]]=1,"Poor",IF(Table1[[#This Row],[WorkLifeBalance]]=2,"Fair",IF(Table1[[#This Row],[WorkLifeBalance]]=3,"Good","Excellent")))</f>
        <v>Good</v>
      </c>
    </row>
    <row r="1074" spans="1:37" x14ac:dyDescent="0.3">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c r="AJ1074" t="str">
        <f>IF(Table1[[#This Row],[Column1]]&lt;=30,"18-30",IF(Table1[[#This Row],[Column1]]&lt;=50,"31-50","51+"))</f>
        <v>18-30</v>
      </c>
      <c r="AK1074" t="str">
        <f>IF(Table1[[#This Row],[WorkLifeBalance]]=1,"Poor",IF(Table1[[#This Row],[WorkLifeBalance]]=2,"Fair",IF(Table1[[#This Row],[WorkLifeBalance]]=3,"Good","Excellent")))</f>
        <v>Good</v>
      </c>
    </row>
    <row r="1075" spans="1:37" x14ac:dyDescent="0.3">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c r="AJ1075" t="str">
        <f>IF(Table1[[#This Row],[Column1]]&lt;=30,"18-30",IF(Table1[[#This Row],[Column1]]&lt;=50,"31-50","51+"))</f>
        <v>18-30</v>
      </c>
      <c r="AK1075" t="str">
        <f>IF(Table1[[#This Row],[WorkLifeBalance]]=1,"Poor",IF(Table1[[#This Row],[WorkLifeBalance]]=2,"Fair",IF(Table1[[#This Row],[WorkLifeBalance]]=3,"Good","Excellent")))</f>
        <v>Fair</v>
      </c>
    </row>
    <row r="1076" spans="1:37" x14ac:dyDescent="0.3">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c r="AJ1076" t="str">
        <f>IF(Table1[[#This Row],[Column1]]&lt;=30,"18-30",IF(Table1[[#This Row],[Column1]]&lt;=50,"31-50","51+"))</f>
        <v>31-50</v>
      </c>
      <c r="AK1076" t="str">
        <f>IF(Table1[[#This Row],[WorkLifeBalance]]=1,"Poor",IF(Table1[[#This Row],[WorkLifeBalance]]=2,"Fair",IF(Table1[[#This Row],[WorkLifeBalance]]=3,"Good","Excellent")))</f>
        <v>Good</v>
      </c>
    </row>
    <row r="1077" spans="1:37" x14ac:dyDescent="0.3">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c r="AJ1077" t="str">
        <f>IF(Table1[[#This Row],[Column1]]&lt;=30,"18-30",IF(Table1[[#This Row],[Column1]]&lt;=50,"31-50","51+"))</f>
        <v>31-50</v>
      </c>
      <c r="AK1077" t="str">
        <f>IF(Table1[[#This Row],[WorkLifeBalance]]=1,"Poor",IF(Table1[[#This Row],[WorkLifeBalance]]=2,"Fair",IF(Table1[[#This Row],[WorkLifeBalance]]=3,"Good","Excellent")))</f>
        <v>Excellent</v>
      </c>
    </row>
    <row r="1078" spans="1:37" x14ac:dyDescent="0.3">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c r="AJ1078" t="str">
        <f>IF(Table1[[#This Row],[Column1]]&lt;=30,"18-30",IF(Table1[[#This Row],[Column1]]&lt;=50,"31-50","51+"))</f>
        <v>51+</v>
      </c>
      <c r="AK1078" t="str">
        <f>IF(Table1[[#This Row],[WorkLifeBalance]]=1,"Poor",IF(Table1[[#This Row],[WorkLifeBalance]]=2,"Fair",IF(Table1[[#This Row],[WorkLifeBalance]]=3,"Good","Excellent")))</f>
        <v>Good</v>
      </c>
    </row>
    <row r="1079" spans="1:37" x14ac:dyDescent="0.3">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c r="AJ1079" t="str">
        <f>IF(Table1[[#This Row],[Column1]]&lt;=30,"18-30",IF(Table1[[#This Row],[Column1]]&lt;=50,"31-50","51+"))</f>
        <v>18-30</v>
      </c>
      <c r="AK1079" t="str">
        <f>IF(Table1[[#This Row],[WorkLifeBalance]]=1,"Poor",IF(Table1[[#This Row],[WorkLifeBalance]]=2,"Fair",IF(Table1[[#This Row],[WorkLifeBalance]]=3,"Good","Excellent")))</f>
        <v>Poor</v>
      </c>
    </row>
    <row r="1080" spans="1:37" x14ac:dyDescent="0.3">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c r="AJ1080" t="str">
        <f>IF(Table1[[#This Row],[Column1]]&lt;=30,"18-30",IF(Table1[[#This Row],[Column1]]&lt;=50,"31-50","51+"))</f>
        <v>31-50</v>
      </c>
      <c r="AK1080" t="str">
        <f>IF(Table1[[#This Row],[WorkLifeBalance]]=1,"Poor",IF(Table1[[#This Row],[WorkLifeBalance]]=2,"Fair",IF(Table1[[#This Row],[WorkLifeBalance]]=3,"Good","Excellent")))</f>
        <v>Excellent</v>
      </c>
    </row>
    <row r="1081" spans="1:37" x14ac:dyDescent="0.3">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c r="AJ1081" t="str">
        <f>IF(Table1[[#This Row],[Column1]]&lt;=30,"18-30",IF(Table1[[#This Row],[Column1]]&lt;=50,"31-50","51+"))</f>
        <v>31-50</v>
      </c>
      <c r="AK1081" t="str">
        <f>IF(Table1[[#This Row],[WorkLifeBalance]]=1,"Poor",IF(Table1[[#This Row],[WorkLifeBalance]]=2,"Fair",IF(Table1[[#This Row],[WorkLifeBalance]]=3,"Good","Excellent")))</f>
        <v>Good</v>
      </c>
    </row>
    <row r="1082" spans="1:37" x14ac:dyDescent="0.3">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c r="AJ1082" t="str">
        <f>IF(Table1[[#This Row],[Column1]]&lt;=30,"18-30",IF(Table1[[#This Row],[Column1]]&lt;=50,"31-50","51+"))</f>
        <v>31-50</v>
      </c>
      <c r="AK1082" t="str">
        <f>IF(Table1[[#This Row],[WorkLifeBalance]]=1,"Poor",IF(Table1[[#This Row],[WorkLifeBalance]]=2,"Fair",IF(Table1[[#This Row],[WorkLifeBalance]]=3,"Good","Excellent")))</f>
        <v>Excellent</v>
      </c>
    </row>
    <row r="1083" spans="1:37" x14ac:dyDescent="0.3">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c r="AJ1083" t="str">
        <f>IF(Table1[[#This Row],[Column1]]&lt;=30,"18-30",IF(Table1[[#This Row],[Column1]]&lt;=50,"31-50","51+"))</f>
        <v>31-50</v>
      </c>
      <c r="AK1083" t="str">
        <f>IF(Table1[[#This Row],[WorkLifeBalance]]=1,"Poor",IF(Table1[[#This Row],[WorkLifeBalance]]=2,"Fair",IF(Table1[[#This Row],[WorkLifeBalance]]=3,"Good","Excellent")))</f>
        <v>Poor</v>
      </c>
    </row>
    <row r="1084" spans="1:37" x14ac:dyDescent="0.3">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c r="AJ1084" t="str">
        <f>IF(Table1[[#This Row],[Column1]]&lt;=30,"18-30",IF(Table1[[#This Row],[Column1]]&lt;=50,"31-50","51+"))</f>
        <v>18-30</v>
      </c>
      <c r="AK1084" t="str">
        <f>IF(Table1[[#This Row],[WorkLifeBalance]]=1,"Poor",IF(Table1[[#This Row],[WorkLifeBalance]]=2,"Fair",IF(Table1[[#This Row],[WorkLifeBalance]]=3,"Good","Excellent")))</f>
        <v>Good</v>
      </c>
    </row>
    <row r="1085" spans="1:37" x14ac:dyDescent="0.3">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c r="AJ1085" t="str">
        <f>IF(Table1[[#This Row],[Column1]]&lt;=30,"18-30",IF(Table1[[#This Row],[Column1]]&lt;=50,"31-50","51+"))</f>
        <v>31-50</v>
      </c>
      <c r="AK1085" t="str">
        <f>IF(Table1[[#This Row],[WorkLifeBalance]]=1,"Poor",IF(Table1[[#This Row],[WorkLifeBalance]]=2,"Fair",IF(Table1[[#This Row],[WorkLifeBalance]]=3,"Good","Excellent")))</f>
        <v>Poor</v>
      </c>
    </row>
    <row r="1086" spans="1:37" x14ac:dyDescent="0.3">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c r="AJ1086" t="str">
        <f>IF(Table1[[#This Row],[Column1]]&lt;=30,"18-30",IF(Table1[[#This Row],[Column1]]&lt;=50,"31-50","51+"))</f>
        <v>31-50</v>
      </c>
      <c r="AK1086" t="str">
        <f>IF(Table1[[#This Row],[WorkLifeBalance]]=1,"Poor",IF(Table1[[#This Row],[WorkLifeBalance]]=2,"Fair",IF(Table1[[#This Row],[WorkLifeBalance]]=3,"Good","Excellent")))</f>
        <v>Good</v>
      </c>
    </row>
    <row r="1087" spans="1:37" x14ac:dyDescent="0.3">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c r="AJ1087" t="str">
        <f>IF(Table1[[#This Row],[Column1]]&lt;=30,"18-30",IF(Table1[[#This Row],[Column1]]&lt;=50,"31-50","51+"))</f>
        <v>31-50</v>
      </c>
      <c r="AK1087" t="str">
        <f>IF(Table1[[#This Row],[WorkLifeBalance]]=1,"Poor",IF(Table1[[#This Row],[WorkLifeBalance]]=2,"Fair",IF(Table1[[#This Row],[WorkLifeBalance]]=3,"Good","Excellent")))</f>
        <v>Poor</v>
      </c>
    </row>
    <row r="1088" spans="1:37" x14ac:dyDescent="0.3">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c r="AJ1088" t="str">
        <f>IF(Table1[[#This Row],[Column1]]&lt;=30,"18-30",IF(Table1[[#This Row],[Column1]]&lt;=50,"31-50","51+"))</f>
        <v>31-50</v>
      </c>
      <c r="AK1088" t="str">
        <f>IF(Table1[[#This Row],[WorkLifeBalance]]=1,"Poor",IF(Table1[[#This Row],[WorkLifeBalance]]=2,"Fair",IF(Table1[[#This Row],[WorkLifeBalance]]=3,"Good","Excellent")))</f>
        <v>Good</v>
      </c>
    </row>
    <row r="1089" spans="1:37" x14ac:dyDescent="0.3">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c r="AJ1089" t="str">
        <f>IF(Table1[[#This Row],[Column1]]&lt;=30,"18-30",IF(Table1[[#This Row],[Column1]]&lt;=50,"31-50","51+"))</f>
        <v>31-50</v>
      </c>
      <c r="AK1089" t="str">
        <f>IF(Table1[[#This Row],[WorkLifeBalance]]=1,"Poor",IF(Table1[[#This Row],[WorkLifeBalance]]=2,"Fair",IF(Table1[[#This Row],[WorkLifeBalance]]=3,"Good","Excellent")))</f>
        <v>Good</v>
      </c>
    </row>
    <row r="1090" spans="1:37" x14ac:dyDescent="0.3">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c r="AJ1090" t="str">
        <f>IF(Table1[[#This Row],[Column1]]&lt;=30,"18-30",IF(Table1[[#This Row],[Column1]]&lt;=50,"31-50","51+"))</f>
        <v>31-50</v>
      </c>
      <c r="AK1090" t="str">
        <f>IF(Table1[[#This Row],[WorkLifeBalance]]=1,"Poor",IF(Table1[[#This Row],[WorkLifeBalance]]=2,"Fair",IF(Table1[[#This Row],[WorkLifeBalance]]=3,"Good","Excellent")))</f>
        <v>Good</v>
      </c>
    </row>
    <row r="1091" spans="1:37" x14ac:dyDescent="0.3">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c r="AJ1091" t="str">
        <f>IF(Table1[[#This Row],[Column1]]&lt;=30,"18-30",IF(Table1[[#This Row],[Column1]]&lt;=50,"31-50","51+"))</f>
        <v>31-50</v>
      </c>
      <c r="AK1091" t="str">
        <f>IF(Table1[[#This Row],[WorkLifeBalance]]=1,"Poor",IF(Table1[[#This Row],[WorkLifeBalance]]=2,"Fair",IF(Table1[[#This Row],[WorkLifeBalance]]=3,"Good","Excellent")))</f>
        <v>Good</v>
      </c>
    </row>
    <row r="1092" spans="1:37" x14ac:dyDescent="0.3">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c r="AJ1092" t="str">
        <f>IF(Table1[[#This Row],[Column1]]&lt;=30,"18-30",IF(Table1[[#This Row],[Column1]]&lt;=50,"31-50","51+"))</f>
        <v>18-30</v>
      </c>
      <c r="AK1092" t="str">
        <f>IF(Table1[[#This Row],[WorkLifeBalance]]=1,"Poor",IF(Table1[[#This Row],[WorkLifeBalance]]=2,"Fair",IF(Table1[[#This Row],[WorkLifeBalance]]=3,"Good","Excellent")))</f>
        <v>Good</v>
      </c>
    </row>
    <row r="1093" spans="1:37" x14ac:dyDescent="0.3">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c r="AJ1093" t="str">
        <f>IF(Table1[[#This Row],[Column1]]&lt;=30,"18-30",IF(Table1[[#This Row],[Column1]]&lt;=50,"31-50","51+"))</f>
        <v>31-50</v>
      </c>
      <c r="AK1093" t="str">
        <f>IF(Table1[[#This Row],[WorkLifeBalance]]=1,"Poor",IF(Table1[[#This Row],[WorkLifeBalance]]=2,"Fair",IF(Table1[[#This Row],[WorkLifeBalance]]=3,"Good","Excellent")))</f>
        <v>Good</v>
      </c>
    </row>
    <row r="1094" spans="1:37" x14ac:dyDescent="0.3">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c r="AJ1094" t="str">
        <f>IF(Table1[[#This Row],[Column1]]&lt;=30,"18-30",IF(Table1[[#This Row],[Column1]]&lt;=50,"31-50","51+"))</f>
        <v>31-50</v>
      </c>
      <c r="AK1094" t="str">
        <f>IF(Table1[[#This Row],[WorkLifeBalance]]=1,"Poor",IF(Table1[[#This Row],[WorkLifeBalance]]=2,"Fair",IF(Table1[[#This Row],[WorkLifeBalance]]=3,"Good","Excellent")))</f>
        <v>Good</v>
      </c>
    </row>
    <row r="1095" spans="1:37" x14ac:dyDescent="0.3">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c r="AJ1095" t="str">
        <f>IF(Table1[[#This Row],[Column1]]&lt;=30,"18-30",IF(Table1[[#This Row],[Column1]]&lt;=50,"31-50","51+"))</f>
        <v>31-50</v>
      </c>
      <c r="AK1095" t="str">
        <f>IF(Table1[[#This Row],[WorkLifeBalance]]=1,"Poor",IF(Table1[[#This Row],[WorkLifeBalance]]=2,"Fair",IF(Table1[[#This Row],[WorkLifeBalance]]=3,"Good","Excellent")))</f>
        <v>Poor</v>
      </c>
    </row>
    <row r="1096" spans="1:37" x14ac:dyDescent="0.3">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c r="AJ1096" t="str">
        <f>IF(Table1[[#This Row],[Column1]]&lt;=30,"18-30",IF(Table1[[#This Row],[Column1]]&lt;=50,"31-50","51+"))</f>
        <v>31-50</v>
      </c>
      <c r="AK1096" t="str">
        <f>IF(Table1[[#This Row],[WorkLifeBalance]]=1,"Poor",IF(Table1[[#This Row],[WorkLifeBalance]]=2,"Fair",IF(Table1[[#This Row],[WorkLifeBalance]]=3,"Good","Excellent")))</f>
        <v>Excellent</v>
      </c>
    </row>
    <row r="1097" spans="1:37" x14ac:dyDescent="0.3">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c r="AJ1097" t="str">
        <f>IF(Table1[[#This Row],[Column1]]&lt;=30,"18-30",IF(Table1[[#This Row],[Column1]]&lt;=50,"31-50","51+"))</f>
        <v>31-50</v>
      </c>
      <c r="AK1097" t="str">
        <f>IF(Table1[[#This Row],[WorkLifeBalance]]=1,"Poor",IF(Table1[[#This Row],[WorkLifeBalance]]=2,"Fair",IF(Table1[[#This Row],[WorkLifeBalance]]=3,"Good","Excellent")))</f>
        <v>Good</v>
      </c>
    </row>
    <row r="1098" spans="1:37" x14ac:dyDescent="0.3">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c r="AJ1098" t="str">
        <f>IF(Table1[[#This Row],[Column1]]&lt;=30,"18-30",IF(Table1[[#This Row],[Column1]]&lt;=50,"31-50","51+"))</f>
        <v>31-50</v>
      </c>
      <c r="AK1098" t="str">
        <f>IF(Table1[[#This Row],[WorkLifeBalance]]=1,"Poor",IF(Table1[[#This Row],[WorkLifeBalance]]=2,"Fair",IF(Table1[[#This Row],[WorkLifeBalance]]=3,"Good","Excellent")))</f>
        <v>Good</v>
      </c>
    </row>
    <row r="1099" spans="1:37" x14ac:dyDescent="0.3">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c r="AJ1099" t="str">
        <f>IF(Table1[[#This Row],[Column1]]&lt;=30,"18-30",IF(Table1[[#This Row],[Column1]]&lt;=50,"31-50","51+"))</f>
        <v>18-30</v>
      </c>
      <c r="AK1099" t="str">
        <f>IF(Table1[[#This Row],[WorkLifeBalance]]=1,"Poor",IF(Table1[[#This Row],[WorkLifeBalance]]=2,"Fair",IF(Table1[[#This Row],[WorkLifeBalance]]=3,"Good","Excellent")))</f>
        <v>Good</v>
      </c>
    </row>
    <row r="1100" spans="1:37" x14ac:dyDescent="0.3">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c r="AJ1100" t="str">
        <f>IF(Table1[[#This Row],[Column1]]&lt;=30,"18-30",IF(Table1[[#This Row],[Column1]]&lt;=50,"31-50","51+"))</f>
        <v>31-50</v>
      </c>
      <c r="AK1100" t="str">
        <f>IF(Table1[[#This Row],[WorkLifeBalance]]=1,"Poor",IF(Table1[[#This Row],[WorkLifeBalance]]=2,"Fair",IF(Table1[[#This Row],[WorkLifeBalance]]=3,"Good","Excellent")))</f>
        <v>Good</v>
      </c>
    </row>
    <row r="1101" spans="1:37" x14ac:dyDescent="0.3">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c r="AJ1101" t="str">
        <f>IF(Table1[[#This Row],[Column1]]&lt;=30,"18-30",IF(Table1[[#This Row],[Column1]]&lt;=50,"31-50","51+"))</f>
        <v>31-50</v>
      </c>
      <c r="AK1101" t="str">
        <f>IF(Table1[[#This Row],[WorkLifeBalance]]=1,"Poor",IF(Table1[[#This Row],[WorkLifeBalance]]=2,"Fair",IF(Table1[[#This Row],[WorkLifeBalance]]=3,"Good","Excellent")))</f>
        <v>Good</v>
      </c>
    </row>
    <row r="1102" spans="1:37" x14ac:dyDescent="0.3">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c r="AJ1102" t="str">
        <f>IF(Table1[[#This Row],[Column1]]&lt;=30,"18-30",IF(Table1[[#This Row],[Column1]]&lt;=50,"31-50","51+"))</f>
        <v>31-50</v>
      </c>
      <c r="AK1102" t="str">
        <f>IF(Table1[[#This Row],[WorkLifeBalance]]=1,"Poor",IF(Table1[[#This Row],[WorkLifeBalance]]=2,"Fair",IF(Table1[[#This Row],[WorkLifeBalance]]=3,"Good","Excellent")))</f>
        <v>Good</v>
      </c>
    </row>
    <row r="1103" spans="1:37" x14ac:dyDescent="0.3">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c r="AJ1103" t="str">
        <f>IF(Table1[[#This Row],[Column1]]&lt;=30,"18-30",IF(Table1[[#This Row],[Column1]]&lt;=50,"31-50","51+"))</f>
        <v>31-50</v>
      </c>
      <c r="AK1103" t="str">
        <f>IF(Table1[[#This Row],[WorkLifeBalance]]=1,"Poor",IF(Table1[[#This Row],[WorkLifeBalance]]=2,"Fair",IF(Table1[[#This Row],[WorkLifeBalance]]=3,"Good","Excellent")))</f>
        <v>Good</v>
      </c>
    </row>
    <row r="1104" spans="1:37" x14ac:dyDescent="0.3">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c r="AJ1104" t="str">
        <f>IF(Table1[[#This Row],[Column1]]&lt;=30,"18-30",IF(Table1[[#This Row],[Column1]]&lt;=50,"31-50","51+"))</f>
        <v>31-50</v>
      </c>
      <c r="AK1104" t="str">
        <f>IF(Table1[[#This Row],[WorkLifeBalance]]=1,"Poor",IF(Table1[[#This Row],[WorkLifeBalance]]=2,"Fair",IF(Table1[[#This Row],[WorkLifeBalance]]=3,"Good","Excellent")))</f>
        <v>Fair</v>
      </c>
    </row>
    <row r="1105" spans="1:37" x14ac:dyDescent="0.3">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c r="AJ1105" t="str">
        <f>IF(Table1[[#This Row],[Column1]]&lt;=30,"18-30",IF(Table1[[#This Row],[Column1]]&lt;=50,"31-50","51+"))</f>
        <v>31-50</v>
      </c>
      <c r="AK1105" t="str">
        <f>IF(Table1[[#This Row],[WorkLifeBalance]]=1,"Poor",IF(Table1[[#This Row],[WorkLifeBalance]]=2,"Fair",IF(Table1[[#This Row],[WorkLifeBalance]]=3,"Good","Excellent")))</f>
        <v>Good</v>
      </c>
    </row>
    <row r="1106" spans="1:37" x14ac:dyDescent="0.3">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c r="AJ1106" t="str">
        <f>IF(Table1[[#This Row],[Column1]]&lt;=30,"18-30",IF(Table1[[#This Row],[Column1]]&lt;=50,"31-50","51+"))</f>
        <v>18-30</v>
      </c>
      <c r="AK1106" t="str">
        <f>IF(Table1[[#This Row],[WorkLifeBalance]]=1,"Poor",IF(Table1[[#This Row],[WorkLifeBalance]]=2,"Fair",IF(Table1[[#This Row],[WorkLifeBalance]]=3,"Good","Excellent")))</f>
        <v>Fair</v>
      </c>
    </row>
    <row r="1107" spans="1:37" x14ac:dyDescent="0.3">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c r="AJ1107" t="str">
        <f>IF(Table1[[#This Row],[Column1]]&lt;=30,"18-30",IF(Table1[[#This Row],[Column1]]&lt;=50,"31-50","51+"))</f>
        <v>31-50</v>
      </c>
      <c r="AK1107" t="str">
        <f>IF(Table1[[#This Row],[WorkLifeBalance]]=1,"Poor",IF(Table1[[#This Row],[WorkLifeBalance]]=2,"Fair",IF(Table1[[#This Row],[WorkLifeBalance]]=3,"Good","Excellent")))</f>
        <v>Poor</v>
      </c>
    </row>
    <row r="1108" spans="1:37" x14ac:dyDescent="0.3">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c r="AJ1108" t="str">
        <f>IF(Table1[[#This Row],[Column1]]&lt;=30,"18-30",IF(Table1[[#This Row],[Column1]]&lt;=50,"31-50","51+"))</f>
        <v>18-30</v>
      </c>
      <c r="AK1108" t="str">
        <f>IF(Table1[[#This Row],[WorkLifeBalance]]=1,"Poor",IF(Table1[[#This Row],[WorkLifeBalance]]=2,"Fair",IF(Table1[[#This Row],[WorkLifeBalance]]=3,"Good","Excellent")))</f>
        <v>Good</v>
      </c>
    </row>
    <row r="1109" spans="1:37" x14ac:dyDescent="0.3">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c r="AJ1109" t="str">
        <f>IF(Table1[[#This Row],[Column1]]&lt;=30,"18-30",IF(Table1[[#This Row],[Column1]]&lt;=50,"31-50","51+"))</f>
        <v>31-50</v>
      </c>
      <c r="AK1109" t="str">
        <f>IF(Table1[[#This Row],[WorkLifeBalance]]=1,"Poor",IF(Table1[[#This Row],[WorkLifeBalance]]=2,"Fair",IF(Table1[[#This Row],[WorkLifeBalance]]=3,"Good","Excellent")))</f>
        <v>Good</v>
      </c>
    </row>
    <row r="1110" spans="1:37" x14ac:dyDescent="0.3">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c r="AJ1110" t="str">
        <f>IF(Table1[[#This Row],[Column1]]&lt;=30,"18-30",IF(Table1[[#This Row],[Column1]]&lt;=50,"31-50","51+"))</f>
        <v>31-50</v>
      </c>
      <c r="AK1110" t="str">
        <f>IF(Table1[[#This Row],[WorkLifeBalance]]=1,"Poor",IF(Table1[[#This Row],[WorkLifeBalance]]=2,"Fair",IF(Table1[[#This Row],[WorkLifeBalance]]=3,"Good","Excellent")))</f>
        <v>Good</v>
      </c>
    </row>
    <row r="1111" spans="1:37" x14ac:dyDescent="0.3">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c r="AJ1111" t="str">
        <f>IF(Table1[[#This Row],[Column1]]&lt;=30,"18-30",IF(Table1[[#This Row],[Column1]]&lt;=50,"31-50","51+"))</f>
        <v>18-30</v>
      </c>
      <c r="AK1111" t="str">
        <f>IF(Table1[[#This Row],[WorkLifeBalance]]=1,"Poor",IF(Table1[[#This Row],[WorkLifeBalance]]=2,"Fair",IF(Table1[[#This Row],[WorkLifeBalance]]=3,"Good","Excellent")))</f>
        <v>Good</v>
      </c>
    </row>
    <row r="1112" spans="1:37" x14ac:dyDescent="0.3">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c r="AJ1112" t="str">
        <f>IF(Table1[[#This Row],[Column1]]&lt;=30,"18-30",IF(Table1[[#This Row],[Column1]]&lt;=50,"31-50","51+"))</f>
        <v>31-50</v>
      </c>
      <c r="AK1112" t="str">
        <f>IF(Table1[[#This Row],[WorkLifeBalance]]=1,"Poor",IF(Table1[[#This Row],[WorkLifeBalance]]=2,"Fair",IF(Table1[[#This Row],[WorkLifeBalance]]=3,"Good","Excellent")))</f>
        <v>Good</v>
      </c>
    </row>
    <row r="1113" spans="1:37" x14ac:dyDescent="0.3">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c r="AJ1113" t="str">
        <f>IF(Table1[[#This Row],[Column1]]&lt;=30,"18-30",IF(Table1[[#This Row],[Column1]]&lt;=50,"31-50","51+"))</f>
        <v>51+</v>
      </c>
      <c r="AK1113" t="str">
        <f>IF(Table1[[#This Row],[WorkLifeBalance]]=1,"Poor",IF(Table1[[#This Row],[WorkLifeBalance]]=2,"Fair",IF(Table1[[#This Row],[WorkLifeBalance]]=3,"Good","Excellent")))</f>
        <v>Good</v>
      </c>
    </row>
    <row r="1114" spans="1:37" x14ac:dyDescent="0.3">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c r="AJ1114" t="str">
        <f>IF(Table1[[#This Row],[Column1]]&lt;=30,"18-30",IF(Table1[[#This Row],[Column1]]&lt;=50,"31-50","51+"))</f>
        <v>31-50</v>
      </c>
      <c r="AK1114" t="str">
        <f>IF(Table1[[#This Row],[WorkLifeBalance]]=1,"Poor",IF(Table1[[#This Row],[WorkLifeBalance]]=2,"Fair",IF(Table1[[#This Row],[WorkLifeBalance]]=3,"Good","Excellent")))</f>
        <v>Good</v>
      </c>
    </row>
    <row r="1115" spans="1:37" x14ac:dyDescent="0.3">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c r="AJ1115" t="str">
        <f>IF(Table1[[#This Row],[Column1]]&lt;=30,"18-30",IF(Table1[[#This Row],[Column1]]&lt;=50,"31-50","51+"))</f>
        <v>31-50</v>
      </c>
      <c r="AK1115" t="str">
        <f>IF(Table1[[#This Row],[WorkLifeBalance]]=1,"Poor",IF(Table1[[#This Row],[WorkLifeBalance]]=2,"Fair",IF(Table1[[#This Row],[WorkLifeBalance]]=3,"Good","Excellent")))</f>
        <v>Fair</v>
      </c>
    </row>
    <row r="1116" spans="1:37" x14ac:dyDescent="0.3">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c r="AJ1116" t="str">
        <f>IF(Table1[[#This Row],[Column1]]&lt;=30,"18-30",IF(Table1[[#This Row],[Column1]]&lt;=50,"31-50","51+"))</f>
        <v>31-50</v>
      </c>
      <c r="AK1116" t="str">
        <f>IF(Table1[[#This Row],[WorkLifeBalance]]=1,"Poor",IF(Table1[[#This Row],[WorkLifeBalance]]=2,"Fair",IF(Table1[[#This Row],[WorkLifeBalance]]=3,"Good","Excellent")))</f>
        <v>Fair</v>
      </c>
    </row>
    <row r="1117" spans="1:37" x14ac:dyDescent="0.3">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c r="AJ1117" t="str">
        <f>IF(Table1[[#This Row],[Column1]]&lt;=30,"18-30",IF(Table1[[#This Row],[Column1]]&lt;=50,"31-50","51+"))</f>
        <v>31-50</v>
      </c>
      <c r="AK1117" t="str">
        <f>IF(Table1[[#This Row],[WorkLifeBalance]]=1,"Poor",IF(Table1[[#This Row],[WorkLifeBalance]]=2,"Fair",IF(Table1[[#This Row],[WorkLifeBalance]]=3,"Good","Excellent")))</f>
        <v>Poor</v>
      </c>
    </row>
    <row r="1118" spans="1:37" x14ac:dyDescent="0.3">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c r="AJ1118" t="str">
        <f>IF(Table1[[#This Row],[Column1]]&lt;=30,"18-30",IF(Table1[[#This Row],[Column1]]&lt;=50,"31-50","51+"))</f>
        <v>51+</v>
      </c>
      <c r="AK1118" t="str">
        <f>IF(Table1[[#This Row],[WorkLifeBalance]]=1,"Poor",IF(Table1[[#This Row],[WorkLifeBalance]]=2,"Fair",IF(Table1[[#This Row],[WorkLifeBalance]]=3,"Good","Excellent")))</f>
        <v>Good</v>
      </c>
    </row>
    <row r="1119" spans="1:37" x14ac:dyDescent="0.3">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c r="AJ1119" t="str">
        <f>IF(Table1[[#This Row],[Column1]]&lt;=30,"18-30",IF(Table1[[#This Row],[Column1]]&lt;=50,"31-50","51+"))</f>
        <v>31-50</v>
      </c>
      <c r="AK1119" t="str">
        <f>IF(Table1[[#This Row],[WorkLifeBalance]]=1,"Poor",IF(Table1[[#This Row],[WorkLifeBalance]]=2,"Fair",IF(Table1[[#This Row],[WorkLifeBalance]]=3,"Good","Excellent")))</f>
        <v>Fair</v>
      </c>
    </row>
    <row r="1120" spans="1:37" x14ac:dyDescent="0.3">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c r="AJ1120" t="str">
        <f>IF(Table1[[#This Row],[Column1]]&lt;=30,"18-30",IF(Table1[[#This Row],[Column1]]&lt;=50,"31-50","51+"))</f>
        <v>18-30</v>
      </c>
      <c r="AK1120" t="str">
        <f>IF(Table1[[#This Row],[WorkLifeBalance]]=1,"Poor",IF(Table1[[#This Row],[WorkLifeBalance]]=2,"Fair",IF(Table1[[#This Row],[WorkLifeBalance]]=3,"Good","Excellent")))</f>
        <v>Good</v>
      </c>
    </row>
    <row r="1121" spans="1:37" x14ac:dyDescent="0.3">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c r="AJ1121" t="str">
        <f>IF(Table1[[#This Row],[Column1]]&lt;=30,"18-30",IF(Table1[[#This Row],[Column1]]&lt;=50,"31-50","51+"))</f>
        <v>31-50</v>
      </c>
      <c r="AK1121" t="str">
        <f>IF(Table1[[#This Row],[WorkLifeBalance]]=1,"Poor",IF(Table1[[#This Row],[WorkLifeBalance]]=2,"Fair",IF(Table1[[#This Row],[WorkLifeBalance]]=3,"Good","Excellent")))</f>
        <v>Good</v>
      </c>
    </row>
    <row r="1122" spans="1:37" x14ac:dyDescent="0.3">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c r="AJ1122" t="str">
        <f>IF(Table1[[#This Row],[Column1]]&lt;=30,"18-30",IF(Table1[[#This Row],[Column1]]&lt;=50,"31-50","51+"))</f>
        <v>31-50</v>
      </c>
      <c r="AK1122" t="str">
        <f>IF(Table1[[#This Row],[WorkLifeBalance]]=1,"Poor",IF(Table1[[#This Row],[WorkLifeBalance]]=2,"Fair",IF(Table1[[#This Row],[WorkLifeBalance]]=3,"Good","Excellent")))</f>
        <v>Excellent</v>
      </c>
    </row>
    <row r="1123" spans="1:37" x14ac:dyDescent="0.3">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c r="AJ1123" t="str">
        <f>IF(Table1[[#This Row],[Column1]]&lt;=30,"18-30",IF(Table1[[#This Row],[Column1]]&lt;=50,"31-50","51+"))</f>
        <v>31-50</v>
      </c>
      <c r="AK1123" t="str">
        <f>IF(Table1[[#This Row],[WorkLifeBalance]]=1,"Poor",IF(Table1[[#This Row],[WorkLifeBalance]]=2,"Fair",IF(Table1[[#This Row],[WorkLifeBalance]]=3,"Good","Excellent")))</f>
        <v>Good</v>
      </c>
    </row>
    <row r="1124" spans="1:37" x14ac:dyDescent="0.3">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c r="AJ1124" t="str">
        <f>IF(Table1[[#This Row],[Column1]]&lt;=30,"18-30",IF(Table1[[#This Row],[Column1]]&lt;=50,"31-50","51+"))</f>
        <v>18-30</v>
      </c>
      <c r="AK1124" t="str">
        <f>IF(Table1[[#This Row],[WorkLifeBalance]]=1,"Poor",IF(Table1[[#This Row],[WorkLifeBalance]]=2,"Fair",IF(Table1[[#This Row],[WorkLifeBalance]]=3,"Good","Excellent")))</f>
        <v>Good</v>
      </c>
    </row>
    <row r="1125" spans="1:37" x14ac:dyDescent="0.3">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c r="AJ1125" t="str">
        <f>IF(Table1[[#This Row],[Column1]]&lt;=30,"18-30",IF(Table1[[#This Row],[Column1]]&lt;=50,"31-50","51+"))</f>
        <v>31-50</v>
      </c>
      <c r="AK1125" t="str">
        <f>IF(Table1[[#This Row],[WorkLifeBalance]]=1,"Poor",IF(Table1[[#This Row],[WorkLifeBalance]]=2,"Fair",IF(Table1[[#This Row],[WorkLifeBalance]]=3,"Good","Excellent")))</f>
        <v>Good</v>
      </c>
    </row>
    <row r="1126" spans="1:37" x14ac:dyDescent="0.3">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c r="AJ1126" t="str">
        <f>IF(Table1[[#This Row],[Column1]]&lt;=30,"18-30",IF(Table1[[#This Row],[Column1]]&lt;=50,"31-50","51+"))</f>
        <v>31-50</v>
      </c>
      <c r="AK1126" t="str">
        <f>IF(Table1[[#This Row],[WorkLifeBalance]]=1,"Poor",IF(Table1[[#This Row],[WorkLifeBalance]]=2,"Fair",IF(Table1[[#This Row],[WorkLifeBalance]]=3,"Good","Excellent")))</f>
        <v>Good</v>
      </c>
    </row>
    <row r="1127" spans="1:37" x14ac:dyDescent="0.3">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c r="AJ1127" t="str">
        <f>IF(Table1[[#This Row],[Column1]]&lt;=30,"18-30",IF(Table1[[#This Row],[Column1]]&lt;=50,"31-50","51+"))</f>
        <v>18-30</v>
      </c>
      <c r="AK1127" t="str">
        <f>IF(Table1[[#This Row],[WorkLifeBalance]]=1,"Poor",IF(Table1[[#This Row],[WorkLifeBalance]]=2,"Fair",IF(Table1[[#This Row],[WorkLifeBalance]]=3,"Good","Excellent")))</f>
        <v>Excellent</v>
      </c>
    </row>
    <row r="1128" spans="1:37" x14ac:dyDescent="0.3">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c r="AJ1128" t="str">
        <f>IF(Table1[[#This Row],[Column1]]&lt;=30,"18-30",IF(Table1[[#This Row],[Column1]]&lt;=50,"31-50","51+"))</f>
        <v>31-50</v>
      </c>
      <c r="AK1128" t="str">
        <f>IF(Table1[[#This Row],[WorkLifeBalance]]=1,"Poor",IF(Table1[[#This Row],[WorkLifeBalance]]=2,"Fair",IF(Table1[[#This Row],[WorkLifeBalance]]=3,"Good","Excellent")))</f>
        <v>Good</v>
      </c>
    </row>
    <row r="1129" spans="1:37" x14ac:dyDescent="0.3">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c r="AJ1129" t="str">
        <f>IF(Table1[[#This Row],[Column1]]&lt;=30,"18-30",IF(Table1[[#This Row],[Column1]]&lt;=50,"31-50","51+"))</f>
        <v>18-30</v>
      </c>
      <c r="AK1129" t="str">
        <f>IF(Table1[[#This Row],[WorkLifeBalance]]=1,"Poor",IF(Table1[[#This Row],[WorkLifeBalance]]=2,"Fair",IF(Table1[[#This Row],[WorkLifeBalance]]=3,"Good","Excellent")))</f>
        <v>Good</v>
      </c>
    </row>
    <row r="1130" spans="1:37" x14ac:dyDescent="0.3">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c r="AJ1130" t="str">
        <f>IF(Table1[[#This Row],[Column1]]&lt;=30,"18-30",IF(Table1[[#This Row],[Column1]]&lt;=50,"31-50","51+"))</f>
        <v>31-50</v>
      </c>
      <c r="AK1130" t="str">
        <f>IF(Table1[[#This Row],[WorkLifeBalance]]=1,"Poor",IF(Table1[[#This Row],[WorkLifeBalance]]=2,"Fair",IF(Table1[[#This Row],[WorkLifeBalance]]=3,"Good","Excellent")))</f>
        <v>Good</v>
      </c>
    </row>
    <row r="1131" spans="1:37" x14ac:dyDescent="0.3">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c r="AJ1131" t="str">
        <f>IF(Table1[[#This Row],[Column1]]&lt;=30,"18-30",IF(Table1[[#This Row],[Column1]]&lt;=50,"31-50","51+"))</f>
        <v>31-50</v>
      </c>
      <c r="AK1131" t="str">
        <f>IF(Table1[[#This Row],[WorkLifeBalance]]=1,"Poor",IF(Table1[[#This Row],[WorkLifeBalance]]=2,"Fair",IF(Table1[[#This Row],[WorkLifeBalance]]=3,"Good","Excellent")))</f>
        <v>Good</v>
      </c>
    </row>
    <row r="1132" spans="1:37" x14ac:dyDescent="0.3">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c r="AJ1132" t="str">
        <f>IF(Table1[[#This Row],[Column1]]&lt;=30,"18-30",IF(Table1[[#This Row],[Column1]]&lt;=50,"31-50","51+"))</f>
        <v>31-50</v>
      </c>
      <c r="AK1132" t="str">
        <f>IF(Table1[[#This Row],[WorkLifeBalance]]=1,"Poor",IF(Table1[[#This Row],[WorkLifeBalance]]=2,"Fair",IF(Table1[[#This Row],[WorkLifeBalance]]=3,"Good","Excellent")))</f>
        <v>Fair</v>
      </c>
    </row>
    <row r="1133" spans="1:37" x14ac:dyDescent="0.3">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c r="AJ1133" t="str">
        <f>IF(Table1[[#This Row],[Column1]]&lt;=30,"18-30",IF(Table1[[#This Row],[Column1]]&lt;=50,"31-50","51+"))</f>
        <v>31-50</v>
      </c>
      <c r="AK1133" t="str">
        <f>IF(Table1[[#This Row],[WorkLifeBalance]]=1,"Poor",IF(Table1[[#This Row],[WorkLifeBalance]]=2,"Fair",IF(Table1[[#This Row],[WorkLifeBalance]]=3,"Good","Excellent")))</f>
        <v>Fair</v>
      </c>
    </row>
    <row r="1134" spans="1:37" x14ac:dyDescent="0.3">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c r="AJ1134" t="str">
        <f>IF(Table1[[#This Row],[Column1]]&lt;=30,"18-30",IF(Table1[[#This Row],[Column1]]&lt;=50,"31-50","51+"))</f>
        <v>31-50</v>
      </c>
      <c r="AK1134" t="str">
        <f>IF(Table1[[#This Row],[WorkLifeBalance]]=1,"Poor",IF(Table1[[#This Row],[WorkLifeBalance]]=2,"Fair",IF(Table1[[#This Row],[WorkLifeBalance]]=3,"Good","Excellent")))</f>
        <v>Good</v>
      </c>
    </row>
    <row r="1135" spans="1:37" x14ac:dyDescent="0.3">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c r="AJ1135" t="str">
        <f>IF(Table1[[#This Row],[Column1]]&lt;=30,"18-30",IF(Table1[[#This Row],[Column1]]&lt;=50,"31-50","51+"))</f>
        <v>31-50</v>
      </c>
      <c r="AK1135" t="str">
        <f>IF(Table1[[#This Row],[WorkLifeBalance]]=1,"Poor",IF(Table1[[#This Row],[WorkLifeBalance]]=2,"Fair",IF(Table1[[#This Row],[WorkLifeBalance]]=3,"Good","Excellent")))</f>
        <v>Good</v>
      </c>
    </row>
    <row r="1136" spans="1:37" x14ac:dyDescent="0.3">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c r="AJ1136" t="str">
        <f>IF(Table1[[#This Row],[Column1]]&lt;=30,"18-30",IF(Table1[[#This Row],[Column1]]&lt;=50,"31-50","51+"))</f>
        <v>31-50</v>
      </c>
      <c r="AK1136" t="str">
        <f>IF(Table1[[#This Row],[WorkLifeBalance]]=1,"Poor",IF(Table1[[#This Row],[WorkLifeBalance]]=2,"Fair",IF(Table1[[#This Row],[WorkLifeBalance]]=3,"Good","Excellent")))</f>
        <v>Fair</v>
      </c>
    </row>
    <row r="1137" spans="1:37" x14ac:dyDescent="0.3">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c r="AJ1137" t="str">
        <f>IF(Table1[[#This Row],[Column1]]&lt;=30,"18-30",IF(Table1[[#This Row],[Column1]]&lt;=50,"31-50","51+"))</f>
        <v>31-50</v>
      </c>
      <c r="AK1137" t="str">
        <f>IF(Table1[[#This Row],[WorkLifeBalance]]=1,"Poor",IF(Table1[[#This Row],[WorkLifeBalance]]=2,"Fair",IF(Table1[[#This Row],[WorkLifeBalance]]=3,"Good","Excellent")))</f>
        <v>Poor</v>
      </c>
    </row>
    <row r="1138" spans="1:37" x14ac:dyDescent="0.3">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c r="AJ1138" t="str">
        <f>IF(Table1[[#This Row],[Column1]]&lt;=30,"18-30",IF(Table1[[#This Row],[Column1]]&lt;=50,"31-50","51+"))</f>
        <v>18-30</v>
      </c>
      <c r="AK1138" t="str">
        <f>IF(Table1[[#This Row],[WorkLifeBalance]]=1,"Poor",IF(Table1[[#This Row],[WorkLifeBalance]]=2,"Fair",IF(Table1[[#This Row],[WorkLifeBalance]]=3,"Good","Excellent")))</f>
        <v>Good</v>
      </c>
    </row>
    <row r="1139" spans="1:37" x14ac:dyDescent="0.3">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c r="AJ1139" t="str">
        <f>IF(Table1[[#This Row],[Column1]]&lt;=30,"18-30",IF(Table1[[#This Row],[Column1]]&lt;=50,"31-50","51+"))</f>
        <v>18-30</v>
      </c>
      <c r="AK1139" t="str">
        <f>IF(Table1[[#This Row],[WorkLifeBalance]]=1,"Poor",IF(Table1[[#This Row],[WorkLifeBalance]]=2,"Fair",IF(Table1[[#This Row],[WorkLifeBalance]]=3,"Good","Excellent")))</f>
        <v>Fair</v>
      </c>
    </row>
    <row r="1140" spans="1:37" x14ac:dyDescent="0.3">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c r="AJ1140" t="str">
        <f>IF(Table1[[#This Row],[Column1]]&lt;=30,"18-30",IF(Table1[[#This Row],[Column1]]&lt;=50,"31-50","51+"))</f>
        <v>31-50</v>
      </c>
      <c r="AK1140" t="str">
        <f>IF(Table1[[#This Row],[WorkLifeBalance]]=1,"Poor",IF(Table1[[#This Row],[WorkLifeBalance]]=2,"Fair",IF(Table1[[#This Row],[WorkLifeBalance]]=3,"Good","Excellent")))</f>
        <v>Good</v>
      </c>
    </row>
    <row r="1141" spans="1:37" x14ac:dyDescent="0.3">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c r="AJ1141" t="str">
        <f>IF(Table1[[#This Row],[Column1]]&lt;=30,"18-30",IF(Table1[[#This Row],[Column1]]&lt;=50,"31-50","51+"))</f>
        <v>31-50</v>
      </c>
      <c r="AK1141" t="str">
        <f>IF(Table1[[#This Row],[WorkLifeBalance]]=1,"Poor",IF(Table1[[#This Row],[WorkLifeBalance]]=2,"Fair",IF(Table1[[#This Row],[WorkLifeBalance]]=3,"Good","Excellent")))</f>
        <v>Good</v>
      </c>
    </row>
    <row r="1142" spans="1:37" x14ac:dyDescent="0.3">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c r="AJ1142" t="str">
        <f>IF(Table1[[#This Row],[Column1]]&lt;=30,"18-30",IF(Table1[[#This Row],[Column1]]&lt;=50,"31-50","51+"))</f>
        <v>31-50</v>
      </c>
      <c r="AK1142" t="str">
        <f>IF(Table1[[#This Row],[WorkLifeBalance]]=1,"Poor",IF(Table1[[#This Row],[WorkLifeBalance]]=2,"Fair",IF(Table1[[#This Row],[WorkLifeBalance]]=3,"Good","Excellent")))</f>
        <v>Fair</v>
      </c>
    </row>
    <row r="1143" spans="1:37" x14ac:dyDescent="0.3">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c r="AJ1143" t="str">
        <f>IF(Table1[[#This Row],[Column1]]&lt;=30,"18-30",IF(Table1[[#This Row],[Column1]]&lt;=50,"31-50","51+"))</f>
        <v>18-30</v>
      </c>
      <c r="AK1143" t="str">
        <f>IF(Table1[[#This Row],[WorkLifeBalance]]=1,"Poor",IF(Table1[[#This Row],[WorkLifeBalance]]=2,"Fair",IF(Table1[[#This Row],[WorkLifeBalance]]=3,"Good","Excellent")))</f>
        <v>Fair</v>
      </c>
    </row>
    <row r="1144" spans="1:37" x14ac:dyDescent="0.3">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c r="AJ1144" t="str">
        <f>IF(Table1[[#This Row],[Column1]]&lt;=30,"18-30",IF(Table1[[#This Row],[Column1]]&lt;=50,"31-50","51+"))</f>
        <v>31-50</v>
      </c>
      <c r="AK1144" t="str">
        <f>IF(Table1[[#This Row],[WorkLifeBalance]]=1,"Poor",IF(Table1[[#This Row],[WorkLifeBalance]]=2,"Fair",IF(Table1[[#This Row],[WorkLifeBalance]]=3,"Good","Excellent")))</f>
        <v>Good</v>
      </c>
    </row>
    <row r="1145" spans="1:37" x14ac:dyDescent="0.3">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c r="AJ1145" t="str">
        <f>IF(Table1[[#This Row],[Column1]]&lt;=30,"18-30",IF(Table1[[#This Row],[Column1]]&lt;=50,"31-50","51+"))</f>
        <v>31-50</v>
      </c>
      <c r="AK1145" t="str">
        <f>IF(Table1[[#This Row],[WorkLifeBalance]]=1,"Poor",IF(Table1[[#This Row],[WorkLifeBalance]]=2,"Fair",IF(Table1[[#This Row],[WorkLifeBalance]]=3,"Good","Excellent")))</f>
        <v>Good</v>
      </c>
    </row>
    <row r="1146" spans="1:37" x14ac:dyDescent="0.3">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c r="AJ1146" t="str">
        <f>IF(Table1[[#This Row],[Column1]]&lt;=30,"18-30",IF(Table1[[#This Row],[Column1]]&lt;=50,"31-50","51+"))</f>
        <v>31-50</v>
      </c>
      <c r="AK1146" t="str">
        <f>IF(Table1[[#This Row],[WorkLifeBalance]]=1,"Poor",IF(Table1[[#This Row],[WorkLifeBalance]]=2,"Fair",IF(Table1[[#This Row],[WorkLifeBalance]]=3,"Good","Excellent")))</f>
        <v>Good</v>
      </c>
    </row>
    <row r="1147" spans="1:37" x14ac:dyDescent="0.3">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c r="AJ1147" t="str">
        <f>IF(Table1[[#This Row],[Column1]]&lt;=30,"18-30",IF(Table1[[#This Row],[Column1]]&lt;=50,"31-50","51+"))</f>
        <v>31-50</v>
      </c>
      <c r="AK1147" t="str">
        <f>IF(Table1[[#This Row],[WorkLifeBalance]]=1,"Poor",IF(Table1[[#This Row],[WorkLifeBalance]]=2,"Fair",IF(Table1[[#This Row],[WorkLifeBalance]]=3,"Good","Excellent")))</f>
        <v>Good</v>
      </c>
    </row>
    <row r="1148" spans="1:37" x14ac:dyDescent="0.3">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c r="AJ1148" t="str">
        <f>IF(Table1[[#This Row],[Column1]]&lt;=30,"18-30",IF(Table1[[#This Row],[Column1]]&lt;=50,"31-50","51+"))</f>
        <v>31-50</v>
      </c>
      <c r="AK1148" t="str">
        <f>IF(Table1[[#This Row],[WorkLifeBalance]]=1,"Poor",IF(Table1[[#This Row],[WorkLifeBalance]]=2,"Fair",IF(Table1[[#This Row],[WorkLifeBalance]]=3,"Good","Excellent")))</f>
        <v>Good</v>
      </c>
    </row>
    <row r="1149" spans="1:37" x14ac:dyDescent="0.3">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c r="AJ1149" t="str">
        <f>IF(Table1[[#This Row],[Column1]]&lt;=30,"18-30",IF(Table1[[#This Row],[Column1]]&lt;=50,"31-50","51+"))</f>
        <v>31-50</v>
      </c>
      <c r="AK1149" t="str">
        <f>IF(Table1[[#This Row],[WorkLifeBalance]]=1,"Poor",IF(Table1[[#This Row],[WorkLifeBalance]]=2,"Fair",IF(Table1[[#This Row],[WorkLifeBalance]]=3,"Good","Excellent")))</f>
        <v>Fair</v>
      </c>
    </row>
    <row r="1150" spans="1:37" x14ac:dyDescent="0.3">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c r="AJ1150" t="str">
        <f>IF(Table1[[#This Row],[Column1]]&lt;=30,"18-30",IF(Table1[[#This Row],[Column1]]&lt;=50,"31-50","51+"))</f>
        <v>31-50</v>
      </c>
      <c r="AK1150" t="str">
        <f>IF(Table1[[#This Row],[WorkLifeBalance]]=1,"Poor",IF(Table1[[#This Row],[WorkLifeBalance]]=2,"Fair",IF(Table1[[#This Row],[WorkLifeBalance]]=3,"Good","Excellent")))</f>
        <v>Good</v>
      </c>
    </row>
    <row r="1151" spans="1:37" x14ac:dyDescent="0.3">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c r="AJ1151" t="str">
        <f>IF(Table1[[#This Row],[Column1]]&lt;=30,"18-30",IF(Table1[[#This Row],[Column1]]&lt;=50,"31-50","51+"))</f>
        <v>18-30</v>
      </c>
      <c r="AK1151" t="str">
        <f>IF(Table1[[#This Row],[WorkLifeBalance]]=1,"Poor",IF(Table1[[#This Row],[WorkLifeBalance]]=2,"Fair",IF(Table1[[#This Row],[WorkLifeBalance]]=3,"Good","Excellent")))</f>
        <v>Good</v>
      </c>
    </row>
    <row r="1152" spans="1:37" x14ac:dyDescent="0.3">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c r="AJ1152" t="str">
        <f>IF(Table1[[#This Row],[Column1]]&lt;=30,"18-30",IF(Table1[[#This Row],[Column1]]&lt;=50,"31-50","51+"))</f>
        <v>31-50</v>
      </c>
      <c r="AK1152" t="str">
        <f>IF(Table1[[#This Row],[WorkLifeBalance]]=1,"Poor",IF(Table1[[#This Row],[WorkLifeBalance]]=2,"Fair",IF(Table1[[#This Row],[WorkLifeBalance]]=3,"Good","Excellent")))</f>
        <v>Good</v>
      </c>
    </row>
    <row r="1153" spans="1:37" x14ac:dyDescent="0.3">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c r="AJ1153" t="str">
        <f>IF(Table1[[#This Row],[Column1]]&lt;=30,"18-30",IF(Table1[[#This Row],[Column1]]&lt;=50,"31-50","51+"))</f>
        <v>18-30</v>
      </c>
      <c r="AK1153" t="str">
        <f>IF(Table1[[#This Row],[WorkLifeBalance]]=1,"Poor",IF(Table1[[#This Row],[WorkLifeBalance]]=2,"Fair",IF(Table1[[#This Row],[WorkLifeBalance]]=3,"Good","Excellent")))</f>
        <v>Fair</v>
      </c>
    </row>
    <row r="1154" spans="1:37" x14ac:dyDescent="0.3">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c r="AJ1154" t="str">
        <f>IF(Table1[[#This Row],[Column1]]&lt;=30,"18-30",IF(Table1[[#This Row],[Column1]]&lt;=50,"31-50","51+"))</f>
        <v>18-30</v>
      </c>
      <c r="AK1154" t="str">
        <f>IF(Table1[[#This Row],[WorkLifeBalance]]=1,"Poor",IF(Table1[[#This Row],[WorkLifeBalance]]=2,"Fair",IF(Table1[[#This Row],[WorkLifeBalance]]=3,"Good","Excellent")))</f>
        <v>Good</v>
      </c>
    </row>
    <row r="1155" spans="1:37" x14ac:dyDescent="0.3">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c r="AJ1155" t="str">
        <f>IF(Table1[[#This Row],[Column1]]&lt;=30,"18-30",IF(Table1[[#This Row],[Column1]]&lt;=50,"31-50","51+"))</f>
        <v>18-30</v>
      </c>
      <c r="AK1155" t="str">
        <f>IF(Table1[[#This Row],[WorkLifeBalance]]=1,"Poor",IF(Table1[[#This Row],[WorkLifeBalance]]=2,"Fair",IF(Table1[[#This Row],[WorkLifeBalance]]=3,"Good","Excellent")))</f>
        <v>Excellent</v>
      </c>
    </row>
    <row r="1156" spans="1:37" x14ac:dyDescent="0.3">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c r="AJ1156" t="str">
        <f>IF(Table1[[#This Row],[Column1]]&lt;=30,"18-30",IF(Table1[[#This Row],[Column1]]&lt;=50,"31-50","51+"))</f>
        <v>31-50</v>
      </c>
      <c r="AK1156" t="str">
        <f>IF(Table1[[#This Row],[WorkLifeBalance]]=1,"Poor",IF(Table1[[#This Row],[WorkLifeBalance]]=2,"Fair",IF(Table1[[#This Row],[WorkLifeBalance]]=3,"Good","Excellent")))</f>
        <v>Good</v>
      </c>
    </row>
    <row r="1157" spans="1:37" x14ac:dyDescent="0.3">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c r="AJ1157" t="str">
        <f>IF(Table1[[#This Row],[Column1]]&lt;=30,"18-30",IF(Table1[[#This Row],[Column1]]&lt;=50,"31-50","51+"))</f>
        <v>31-50</v>
      </c>
      <c r="AK1157" t="str">
        <f>IF(Table1[[#This Row],[WorkLifeBalance]]=1,"Poor",IF(Table1[[#This Row],[WorkLifeBalance]]=2,"Fair",IF(Table1[[#This Row],[WorkLifeBalance]]=3,"Good","Excellent")))</f>
        <v>Good</v>
      </c>
    </row>
    <row r="1158" spans="1:37" x14ac:dyDescent="0.3">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c r="AJ1158" t="str">
        <f>IF(Table1[[#This Row],[Column1]]&lt;=30,"18-30",IF(Table1[[#This Row],[Column1]]&lt;=50,"31-50","51+"))</f>
        <v>31-50</v>
      </c>
      <c r="AK1158" t="str">
        <f>IF(Table1[[#This Row],[WorkLifeBalance]]=1,"Poor",IF(Table1[[#This Row],[WorkLifeBalance]]=2,"Fair",IF(Table1[[#This Row],[WorkLifeBalance]]=3,"Good","Excellent")))</f>
        <v>Good</v>
      </c>
    </row>
    <row r="1159" spans="1:37" x14ac:dyDescent="0.3">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c r="AJ1159" t="str">
        <f>IF(Table1[[#This Row],[Column1]]&lt;=30,"18-30",IF(Table1[[#This Row],[Column1]]&lt;=50,"31-50","51+"))</f>
        <v>31-50</v>
      </c>
      <c r="AK1159" t="str">
        <f>IF(Table1[[#This Row],[WorkLifeBalance]]=1,"Poor",IF(Table1[[#This Row],[WorkLifeBalance]]=2,"Fair",IF(Table1[[#This Row],[WorkLifeBalance]]=3,"Good","Excellent")))</f>
        <v>Good</v>
      </c>
    </row>
    <row r="1160" spans="1:37" x14ac:dyDescent="0.3">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c r="AJ1160" t="str">
        <f>IF(Table1[[#This Row],[Column1]]&lt;=30,"18-30",IF(Table1[[#This Row],[Column1]]&lt;=50,"31-50","51+"))</f>
        <v>31-50</v>
      </c>
      <c r="AK1160" t="str">
        <f>IF(Table1[[#This Row],[WorkLifeBalance]]=1,"Poor",IF(Table1[[#This Row],[WorkLifeBalance]]=2,"Fair",IF(Table1[[#This Row],[WorkLifeBalance]]=3,"Good","Excellent")))</f>
        <v>Fair</v>
      </c>
    </row>
    <row r="1161" spans="1:37" x14ac:dyDescent="0.3">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c r="AJ1161" t="str">
        <f>IF(Table1[[#This Row],[Column1]]&lt;=30,"18-30",IF(Table1[[#This Row],[Column1]]&lt;=50,"31-50","51+"))</f>
        <v>31-50</v>
      </c>
      <c r="AK1161" t="str">
        <f>IF(Table1[[#This Row],[WorkLifeBalance]]=1,"Poor",IF(Table1[[#This Row],[WorkLifeBalance]]=2,"Fair",IF(Table1[[#This Row],[WorkLifeBalance]]=3,"Good","Excellent")))</f>
        <v>Poor</v>
      </c>
    </row>
    <row r="1162" spans="1:37" x14ac:dyDescent="0.3">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c r="AJ1162" t="str">
        <f>IF(Table1[[#This Row],[Column1]]&lt;=30,"18-30",IF(Table1[[#This Row],[Column1]]&lt;=50,"31-50","51+"))</f>
        <v>31-50</v>
      </c>
      <c r="AK1162" t="str">
        <f>IF(Table1[[#This Row],[WorkLifeBalance]]=1,"Poor",IF(Table1[[#This Row],[WorkLifeBalance]]=2,"Fair",IF(Table1[[#This Row],[WorkLifeBalance]]=3,"Good","Excellent")))</f>
        <v>Good</v>
      </c>
    </row>
    <row r="1163" spans="1:37" x14ac:dyDescent="0.3">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c r="AJ1163" t="str">
        <f>IF(Table1[[#This Row],[Column1]]&lt;=30,"18-30",IF(Table1[[#This Row],[Column1]]&lt;=50,"31-50","51+"))</f>
        <v>31-50</v>
      </c>
      <c r="AK1163" t="str">
        <f>IF(Table1[[#This Row],[WorkLifeBalance]]=1,"Poor",IF(Table1[[#This Row],[WorkLifeBalance]]=2,"Fair",IF(Table1[[#This Row],[WorkLifeBalance]]=3,"Good","Excellent")))</f>
        <v>Excellent</v>
      </c>
    </row>
    <row r="1164" spans="1:37" x14ac:dyDescent="0.3">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c r="AJ1164" t="str">
        <f>IF(Table1[[#This Row],[Column1]]&lt;=30,"18-30",IF(Table1[[#This Row],[Column1]]&lt;=50,"31-50","51+"))</f>
        <v>31-50</v>
      </c>
      <c r="AK1164" t="str">
        <f>IF(Table1[[#This Row],[WorkLifeBalance]]=1,"Poor",IF(Table1[[#This Row],[WorkLifeBalance]]=2,"Fair",IF(Table1[[#This Row],[WorkLifeBalance]]=3,"Good","Excellent")))</f>
        <v>Good</v>
      </c>
    </row>
    <row r="1165" spans="1:37" x14ac:dyDescent="0.3">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c r="AJ1165" t="str">
        <f>IF(Table1[[#This Row],[Column1]]&lt;=30,"18-30",IF(Table1[[#This Row],[Column1]]&lt;=50,"31-50","51+"))</f>
        <v>31-50</v>
      </c>
      <c r="AK1165" t="str">
        <f>IF(Table1[[#This Row],[WorkLifeBalance]]=1,"Poor",IF(Table1[[#This Row],[WorkLifeBalance]]=2,"Fair",IF(Table1[[#This Row],[WorkLifeBalance]]=3,"Good","Excellent")))</f>
        <v>Poor</v>
      </c>
    </row>
    <row r="1166" spans="1:37" x14ac:dyDescent="0.3">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c r="AJ1166" t="str">
        <f>IF(Table1[[#This Row],[Column1]]&lt;=30,"18-30",IF(Table1[[#This Row],[Column1]]&lt;=50,"31-50","51+"))</f>
        <v>31-50</v>
      </c>
      <c r="AK1166" t="str">
        <f>IF(Table1[[#This Row],[WorkLifeBalance]]=1,"Poor",IF(Table1[[#This Row],[WorkLifeBalance]]=2,"Fair",IF(Table1[[#This Row],[WorkLifeBalance]]=3,"Good","Excellent")))</f>
        <v>Fair</v>
      </c>
    </row>
    <row r="1167" spans="1:37" x14ac:dyDescent="0.3">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c r="AJ1167" t="str">
        <f>IF(Table1[[#This Row],[Column1]]&lt;=30,"18-30",IF(Table1[[#This Row],[Column1]]&lt;=50,"31-50","51+"))</f>
        <v>31-50</v>
      </c>
      <c r="AK1167" t="str">
        <f>IF(Table1[[#This Row],[WorkLifeBalance]]=1,"Poor",IF(Table1[[#This Row],[WorkLifeBalance]]=2,"Fair",IF(Table1[[#This Row],[WorkLifeBalance]]=3,"Good","Excellent")))</f>
        <v>Good</v>
      </c>
    </row>
    <row r="1168" spans="1:37" x14ac:dyDescent="0.3">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c r="AJ1168" t="str">
        <f>IF(Table1[[#This Row],[Column1]]&lt;=30,"18-30",IF(Table1[[#This Row],[Column1]]&lt;=50,"31-50","51+"))</f>
        <v>31-50</v>
      </c>
      <c r="AK1168" t="str">
        <f>IF(Table1[[#This Row],[WorkLifeBalance]]=1,"Poor",IF(Table1[[#This Row],[WorkLifeBalance]]=2,"Fair",IF(Table1[[#This Row],[WorkLifeBalance]]=3,"Good","Excellent")))</f>
        <v>Good</v>
      </c>
    </row>
    <row r="1169" spans="1:37" x14ac:dyDescent="0.3">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c r="AJ1169" t="str">
        <f>IF(Table1[[#This Row],[Column1]]&lt;=30,"18-30",IF(Table1[[#This Row],[Column1]]&lt;=50,"31-50","51+"))</f>
        <v>31-50</v>
      </c>
      <c r="AK1169" t="str">
        <f>IF(Table1[[#This Row],[WorkLifeBalance]]=1,"Poor",IF(Table1[[#This Row],[WorkLifeBalance]]=2,"Fair",IF(Table1[[#This Row],[WorkLifeBalance]]=3,"Good","Excellent")))</f>
        <v>Fair</v>
      </c>
    </row>
    <row r="1170" spans="1:37" x14ac:dyDescent="0.3">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c r="AJ1170" t="str">
        <f>IF(Table1[[#This Row],[Column1]]&lt;=30,"18-30",IF(Table1[[#This Row],[Column1]]&lt;=50,"31-50","51+"))</f>
        <v>18-30</v>
      </c>
      <c r="AK1170" t="str">
        <f>IF(Table1[[#This Row],[WorkLifeBalance]]=1,"Poor",IF(Table1[[#This Row],[WorkLifeBalance]]=2,"Fair",IF(Table1[[#This Row],[WorkLifeBalance]]=3,"Good","Excellent")))</f>
        <v>Good</v>
      </c>
    </row>
    <row r="1171" spans="1:37" x14ac:dyDescent="0.3">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c r="AJ1171" t="str">
        <f>IF(Table1[[#This Row],[Column1]]&lt;=30,"18-30",IF(Table1[[#This Row],[Column1]]&lt;=50,"31-50","51+"))</f>
        <v>18-30</v>
      </c>
      <c r="AK1171" t="str">
        <f>IF(Table1[[#This Row],[WorkLifeBalance]]=1,"Poor",IF(Table1[[#This Row],[WorkLifeBalance]]=2,"Fair",IF(Table1[[#This Row],[WorkLifeBalance]]=3,"Good","Excellent")))</f>
        <v>Good</v>
      </c>
    </row>
    <row r="1172" spans="1:37" x14ac:dyDescent="0.3">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c r="AJ1172" t="str">
        <f>IF(Table1[[#This Row],[Column1]]&lt;=30,"18-30",IF(Table1[[#This Row],[Column1]]&lt;=50,"31-50","51+"))</f>
        <v>18-30</v>
      </c>
      <c r="AK1172" t="str">
        <f>IF(Table1[[#This Row],[WorkLifeBalance]]=1,"Poor",IF(Table1[[#This Row],[WorkLifeBalance]]=2,"Fair",IF(Table1[[#This Row],[WorkLifeBalance]]=3,"Good","Excellent")))</f>
        <v>Fair</v>
      </c>
    </row>
    <row r="1173" spans="1:37" x14ac:dyDescent="0.3">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c r="AJ1173" t="str">
        <f>IF(Table1[[#This Row],[Column1]]&lt;=30,"18-30",IF(Table1[[#This Row],[Column1]]&lt;=50,"31-50","51+"))</f>
        <v>31-50</v>
      </c>
      <c r="AK1173" t="str">
        <f>IF(Table1[[#This Row],[WorkLifeBalance]]=1,"Poor",IF(Table1[[#This Row],[WorkLifeBalance]]=2,"Fair",IF(Table1[[#This Row],[WorkLifeBalance]]=3,"Good","Excellent")))</f>
        <v>Poor</v>
      </c>
    </row>
    <row r="1174" spans="1:37" x14ac:dyDescent="0.3">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c r="AJ1174" t="str">
        <f>IF(Table1[[#This Row],[Column1]]&lt;=30,"18-30",IF(Table1[[#This Row],[Column1]]&lt;=50,"31-50","51+"))</f>
        <v>18-30</v>
      </c>
      <c r="AK1174" t="str">
        <f>IF(Table1[[#This Row],[WorkLifeBalance]]=1,"Poor",IF(Table1[[#This Row],[WorkLifeBalance]]=2,"Fair",IF(Table1[[#This Row],[WorkLifeBalance]]=3,"Good","Excellent")))</f>
        <v>Good</v>
      </c>
    </row>
    <row r="1175" spans="1:37" x14ac:dyDescent="0.3">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c r="AJ1175" t="str">
        <f>IF(Table1[[#This Row],[Column1]]&lt;=30,"18-30",IF(Table1[[#This Row],[Column1]]&lt;=50,"31-50","51+"))</f>
        <v>31-50</v>
      </c>
      <c r="AK1175" t="str">
        <f>IF(Table1[[#This Row],[WorkLifeBalance]]=1,"Poor",IF(Table1[[#This Row],[WorkLifeBalance]]=2,"Fair",IF(Table1[[#This Row],[WorkLifeBalance]]=3,"Good","Excellent")))</f>
        <v>Good</v>
      </c>
    </row>
    <row r="1176" spans="1:37" x14ac:dyDescent="0.3">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c r="AJ1176" t="str">
        <f>IF(Table1[[#This Row],[Column1]]&lt;=30,"18-30",IF(Table1[[#This Row],[Column1]]&lt;=50,"31-50","51+"))</f>
        <v>18-30</v>
      </c>
      <c r="AK1176" t="str">
        <f>IF(Table1[[#This Row],[WorkLifeBalance]]=1,"Poor",IF(Table1[[#This Row],[WorkLifeBalance]]=2,"Fair",IF(Table1[[#This Row],[WorkLifeBalance]]=3,"Good","Excellent")))</f>
        <v>Good</v>
      </c>
    </row>
    <row r="1177" spans="1:37" x14ac:dyDescent="0.3">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c r="AJ1177" t="str">
        <f>IF(Table1[[#This Row],[Column1]]&lt;=30,"18-30",IF(Table1[[#This Row],[Column1]]&lt;=50,"31-50","51+"))</f>
        <v>31-50</v>
      </c>
      <c r="AK1177" t="str">
        <f>IF(Table1[[#This Row],[WorkLifeBalance]]=1,"Poor",IF(Table1[[#This Row],[WorkLifeBalance]]=2,"Fair",IF(Table1[[#This Row],[WorkLifeBalance]]=3,"Good","Excellent")))</f>
        <v>Good</v>
      </c>
    </row>
    <row r="1178" spans="1:37" x14ac:dyDescent="0.3">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c r="AJ1178" t="str">
        <f>IF(Table1[[#This Row],[Column1]]&lt;=30,"18-30",IF(Table1[[#This Row],[Column1]]&lt;=50,"31-50","51+"))</f>
        <v>31-50</v>
      </c>
      <c r="AK1178" t="str">
        <f>IF(Table1[[#This Row],[WorkLifeBalance]]=1,"Poor",IF(Table1[[#This Row],[WorkLifeBalance]]=2,"Fair",IF(Table1[[#This Row],[WorkLifeBalance]]=3,"Good","Excellent")))</f>
        <v>Good</v>
      </c>
    </row>
    <row r="1179" spans="1:37" x14ac:dyDescent="0.3">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c r="AJ1179" t="str">
        <f>IF(Table1[[#This Row],[Column1]]&lt;=30,"18-30",IF(Table1[[#This Row],[Column1]]&lt;=50,"31-50","51+"))</f>
        <v>31-50</v>
      </c>
      <c r="AK1179" t="str">
        <f>IF(Table1[[#This Row],[WorkLifeBalance]]=1,"Poor",IF(Table1[[#This Row],[WorkLifeBalance]]=2,"Fair",IF(Table1[[#This Row],[WorkLifeBalance]]=3,"Good","Excellent")))</f>
        <v>Good</v>
      </c>
    </row>
    <row r="1180" spans="1:37" x14ac:dyDescent="0.3">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c r="AJ1180" t="str">
        <f>IF(Table1[[#This Row],[Column1]]&lt;=30,"18-30",IF(Table1[[#This Row],[Column1]]&lt;=50,"31-50","51+"))</f>
        <v>18-30</v>
      </c>
      <c r="AK1180" t="str">
        <f>IF(Table1[[#This Row],[WorkLifeBalance]]=1,"Poor",IF(Table1[[#This Row],[WorkLifeBalance]]=2,"Fair",IF(Table1[[#This Row],[WorkLifeBalance]]=3,"Good","Excellent")))</f>
        <v>Good</v>
      </c>
    </row>
    <row r="1181" spans="1:37" x14ac:dyDescent="0.3">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c r="AJ1181" t="str">
        <f>IF(Table1[[#This Row],[Column1]]&lt;=30,"18-30",IF(Table1[[#This Row],[Column1]]&lt;=50,"31-50","51+"))</f>
        <v>31-50</v>
      </c>
      <c r="AK1181" t="str">
        <f>IF(Table1[[#This Row],[WorkLifeBalance]]=1,"Poor",IF(Table1[[#This Row],[WorkLifeBalance]]=2,"Fair",IF(Table1[[#This Row],[WorkLifeBalance]]=3,"Good","Excellent")))</f>
        <v>Good</v>
      </c>
    </row>
    <row r="1182" spans="1:37" x14ac:dyDescent="0.3">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c r="AJ1182" t="str">
        <f>IF(Table1[[#This Row],[Column1]]&lt;=30,"18-30",IF(Table1[[#This Row],[Column1]]&lt;=50,"31-50","51+"))</f>
        <v>31-50</v>
      </c>
      <c r="AK1182" t="str">
        <f>IF(Table1[[#This Row],[WorkLifeBalance]]=1,"Poor",IF(Table1[[#This Row],[WorkLifeBalance]]=2,"Fair",IF(Table1[[#This Row],[WorkLifeBalance]]=3,"Good","Excellent")))</f>
        <v>Good</v>
      </c>
    </row>
    <row r="1183" spans="1:37" x14ac:dyDescent="0.3">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c r="AJ1183" t="str">
        <f>IF(Table1[[#This Row],[Column1]]&lt;=30,"18-30",IF(Table1[[#This Row],[Column1]]&lt;=50,"31-50","51+"))</f>
        <v>31-50</v>
      </c>
      <c r="AK1183" t="str">
        <f>IF(Table1[[#This Row],[WorkLifeBalance]]=1,"Poor",IF(Table1[[#This Row],[WorkLifeBalance]]=2,"Fair",IF(Table1[[#This Row],[WorkLifeBalance]]=3,"Good","Excellent")))</f>
        <v>Good</v>
      </c>
    </row>
    <row r="1184" spans="1:37" x14ac:dyDescent="0.3">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c r="AJ1184" t="str">
        <f>IF(Table1[[#This Row],[Column1]]&lt;=30,"18-30",IF(Table1[[#This Row],[Column1]]&lt;=50,"31-50","51+"))</f>
        <v>31-50</v>
      </c>
      <c r="AK1184" t="str">
        <f>IF(Table1[[#This Row],[WorkLifeBalance]]=1,"Poor",IF(Table1[[#This Row],[WorkLifeBalance]]=2,"Fair",IF(Table1[[#This Row],[WorkLifeBalance]]=3,"Good","Excellent")))</f>
        <v>Good</v>
      </c>
    </row>
    <row r="1185" spans="1:37" x14ac:dyDescent="0.3">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c r="AJ1185" t="str">
        <f>IF(Table1[[#This Row],[Column1]]&lt;=30,"18-30",IF(Table1[[#This Row],[Column1]]&lt;=50,"31-50","51+"))</f>
        <v>31-50</v>
      </c>
      <c r="AK1185" t="str">
        <f>IF(Table1[[#This Row],[WorkLifeBalance]]=1,"Poor",IF(Table1[[#This Row],[WorkLifeBalance]]=2,"Fair",IF(Table1[[#This Row],[WorkLifeBalance]]=3,"Good","Excellent")))</f>
        <v>Good</v>
      </c>
    </row>
    <row r="1186" spans="1:37" x14ac:dyDescent="0.3">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c r="AJ1186" t="str">
        <f>IF(Table1[[#This Row],[Column1]]&lt;=30,"18-30",IF(Table1[[#This Row],[Column1]]&lt;=50,"31-50","51+"))</f>
        <v>51+</v>
      </c>
      <c r="AK1186" t="str">
        <f>IF(Table1[[#This Row],[WorkLifeBalance]]=1,"Poor",IF(Table1[[#This Row],[WorkLifeBalance]]=2,"Fair",IF(Table1[[#This Row],[WorkLifeBalance]]=3,"Good","Excellent")))</f>
        <v>Good</v>
      </c>
    </row>
    <row r="1187" spans="1:37" x14ac:dyDescent="0.3">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c r="AJ1187" t="str">
        <f>IF(Table1[[#This Row],[Column1]]&lt;=30,"18-30",IF(Table1[[#This Row],[Column1]]&lt;=50,"31-50","51+"))</f>
        <v>31-50</v>
      </c>
      <c r="AK1187" t="str">
        <f>IF(Table1[[#This Row],[WorkLifeBalance]]=1,"Poor",IF(Table1[[#This Row],[WorkLifeBalance]]=2,"Fair",IF(Table1[[#This Row],[WorkLifeBalance]]=3,"Good","Excellent")))</f>
        <v>Good</v>
      </c>
    </row>
    <row r="1188" spans="1:37" x14ac:dyDescent="0.3">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c r="AJ1188" t="str">
        <f>IF(Table1[[#This Row],[Column1]]&lt;=30,"18-30",IF(Table1[[#This Row],[Column1]]&lt;=50,"31-50","51+"))</f>
        <v>31-50</v>
      </c>
      <c r="AK1188" t="str">
        <f>IF(Table1[[#This Row],[WorkLifeBalance]]=1,"Poor",IF(Table1[[#This Row],[WorkLifeBalance]]=2,"Fair",IF(Table1[[#This Row],[WorkLifeBalance]]=3,"Good","Excellent")))</f>
        <v>Excellent</v>
      </c>
    </row>
    <row r="1189" spans="1:37" x14ac:dyDescent="0.3">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c r="AJ1189" t="str">
        <f>IF(Table1[[#This Row],[Column1]]&lt;=30,"18-30",IF(Table1[[#This Row],[Column1]]&lt;=50,"31-50","51+"))</f>
        <v>31-50</v>
      </c>
      <c r="AK1189" t="str">
        <f>IF(Table1[[#This Row],[WorkLifeBalance]]=1,"Poor",IF(Table1[[#This Row],[WorkLifeBalance]]=2,"Fair",IF(Table1[[#This Row],[WorkLifeBalance]]=3,"Good","Excellent")))</f>
        <v>Excellent</v>
      </c>
    </row>
    <row r="1190" spans="1:37" x14ac:dyDescent="0.3">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c r="AJ1190" t="str">
        <f>IF(Table1[[#This Row],[Column1]]&lt;=30,"18-30",IF(Table1[[#This Row],[Column1]]&lt;=50,"31-50","51+"))</f>
        <v>18-30</v>
      </c>
      <c r="AK1190" t="str">
        <f>IF(Table1[[#This Row],[WorkLifeBalance]]=1,"Poor",IF(Table1[[#This Row],[WorkLifeBalance]]=2,"Fair",IF(Table1[[#This Row],[WorkLifeBalance]]=3,"Good","Excellent")))</f>
        <v>Fair</v>
      </c>
    </row>
    <row r="1191" spans="1:37" x14ac:dyDescent="0.3">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c r="AJ1191" t="str">
        <f>IF(Table1[[#This Row],[Column1]]&lt;=30,"18-30",IF(Table1[[#This Row],[Column1]]&lt;=50,"31-50","51+"))</f>
        <v>31-50</v>
      </c>
      <c r="AK1191" t="str">
        <f>IF(Table1[[#This Row],[WorkLifeBalance]]=1,"Poor",IF(Table1[[#This Row],[WorkLifeBalance]]=2,"Fair",IF(Table1[[#This Row],[WorkLifeBalance]]=3,"Good","Excellent")))</f>
        <v>Good</v>
      </c>
    </row>
    <row r="1192" spans="1:37" x14ac:dyDescent="0.3">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c r="AJ1192" t="str">
        <f>IF(Table1[[#This Row],[Column1]]&lt;=30,"18-30",IF(Table1[[#This Row],[Column1]]&lt;=50,"31-50","51+"))</f>
        <v>31-50</v>
      </c>
      <c r="AK1192" t="str">
        <f>IF(Table1[[#This Row],[WorkLifeBalance]]=1,"Poor",IF(Table1[[#This Row],[WorkLifeBalance]]=2,"Fair",IF(Table1[[#This Row],[WorkLifeBalance]]=3,"Good","Excellent")))</f>
        <v>Fair</v>
      </c>
    </row>
    <row r="1193" spans="1:37" x14ac:dyDescent="0.3">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c r="AJ1193" t="str">
        <f>IF(Table1[[#This Row],[Column1]]&lt;=30,"18-30",IF(Table1[[#This Row],[Column1]]&lt;=50,"31-50","51+"))</f>
        <v>31-50</v>
      </c>
      <c r="AK1193" t="str">
        <f>IF(Table1[[#This Row],[WorkLifeBalance]]=1,"Poor",IF(Table1[[#This Row],[WorkLifeBalance]]=2,"Fair",IF(Table1[[#This Row],[WorkLifeBalance]]=3,"Good","Excellent")))</f>
        <v>Good</v>
      </c>
    </row>
    <row r="1194" spans="1:37" x14ac:dyDescent="0.3">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c r="AJ1194" t="str">
        <f>IF(Table1[[#This Row],[Column1]]&lt;=30,"18-30",IF(Table1[[#This Row],[Column1]]&lt;=50,"31-50","51+"))</f>
        <v>31-50</v>
      </c>
      <c r="AK1194" t="str">
        <f>IF(Table1[[#This Row],[WorkLifeBalance]]=1,"Poor",IF(Table1[[#This Row],[WorkLifeBalance]]=2,"Fair",IF(Table1[[#This Row],[WorkLifeBalance]]=3,"Good","Excellent")))</f>
        <v>Fair</v>
      </c>
    </row>
    <row r="1195" spans="1:37" x14ac:dyDescent="0.3">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c r="AJ1195" t="str">
        <f>IF(Table1[[#This Row],[Column1]]&lt;=30,"18-30",IF(Table1[[#This Row],[Column1]]&lt;=50,"31-50","51+"))</f>
        <v>31-50</v>
      </c>
      <c r="AK1195" t="str">
        <f>IF(Table1[[#This Row],[WorkLifeBalance]]=1,"Poor",IF(Table1[[#This Row],[WorkLifeBalance]]=2,"Fair",IF(Table1[[#This Row],[WorkLifeBalance]]=3,"Good","Excellent")))</f>
        <v>Good</v>
      </c>
    </row>
    <row r="1196" spans="1:37" x14ac:dyDescent="0.3">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c r="AJ1196" t="str">
        <f>IF(Table1[[#This Row],[Column1]]&lt;=30,"18-30",IF(Table1[[#This Row],[Column1]]&lt;=50,"31-50","51+"))</f>
        <v>31-50</v>
      </c>
      <c r="AK1196" t="str">
        <f>IF(Table1[[#This Row],[WorkLifeBalance]]=1,"Poor",IF(Table1[[#This Row],[WorkLifeBalance]]=2,"Fair",IF(Table1[[#This Row],[WorkLifeBalance]]=3,"Good","Excellent")))</f>
        <v>Good</v>
      </c>
    </row>
    <row r="1197" spans="1:37" x14ac:dyDescent="0.3">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c r="AJ1197" t="str">
        <f>IF(Table1[[#This Row],[Column1]]&lt;=30,"18-30",IF(Table1[[#This Row],[Column1]]&lt;=50,"31-50","51+"))</f>
        <v>31-50</v>
      </c>
      <c r="AK1197" t="str">
        <f>IF(Table1[[#This Row],[WorkLifeBalance]]=1,"Poor",IF(Table1[[#This Row],[WorkLifeBalance]]=2,"Fair",IF(Table1[[#This Row],[WorkLifeBalance]]=3,"Good","Excellent")))</f>
        <v>Good</v>
      </c>
    </row>
    <row r="1198" spans="1:37" x14ac:dyDescent="0.3">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c r="AJ1198" t="str">
        <f>IF(Table1[[#This Row],[Column1]]&lt;=30,"18-30",IF(Table1[[#This Row],[Column1]]&lt;=50,"31-50","51+"))</f>
        <v>31-50</v>
      </c>
      <c r="AK1198" t="str">
        <f>IF(Table1[[#This Row],[WorkLifeBalance]]=1,"Poor",IF(Table1[[#This Row],[WorkLifeBalance]]=2,"Fair",IF(Table1[[#This Row],[WorkLifeBalance]]=3,"Good","Excellent")))</f>
        <v>Good</v>
      </c>
    </row>
    <row r="1199" spans="1:37" x14ac:dyDescent="0.3">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c r="AJ1199" t="str">
        <f>IF(Table1[[#This Row],[Column1]]&lt;=30,"18-30",IF(Table1[[#This Row],[Column1]]&lt;=50,"31-50","51+"))</f>
        <v>18-30</v>
      </c>
      <c r="AK1199" t="str">
        <f>IF(Table1[[#This Row],[WorkLifeBalance]]=1,"Poor",IF(Table1[[#This Row],[WorkLifeBalance]]=2,"Fair",IF(Table1[[#This Row],[WorkLifeBalance]]=3,"Good","Excellent")))</f>
        <v>Good</v>
      </c>
    </row>
    <row r="1200" spans="1:37" x14ac:dyDescent="0.3">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c r="AJ1200" t="str">
        <f>IF(Table1[[#This Row],[Column1]]&lt;=30,"18-30",IF(Table1[[#This Row],[Column1]]&lt;=50,"31-50","51+"))</f>
        <v>31-50</v>
      </c>
      <c r="AK1200" t="str">
        <f>IF(Table1[[#This Row],[WorkLifeBalance]]=1,"Poor",IF(Table1[[#This Row],[WorkLifeBalance]]=2,"Fair",IF(Table1[[#This Row],[WorkLifeBalance]]=3,"Good","Excellent")))</f>
        <v>Good</v>
      </c>
    </row>
    <row r="1201" spans="1:37" x14ac:dyDescent="0.3">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c r="AJ1201" t="str">
        <f>IF(Table1[[#This Row],[Column1]]&lt;=30,"18-30",IF(Table1[[#This Row],[Column1]]&lt;=50,"31-50","51+"))</f>
        <v>31-50</v>
      </c>
      <c r="AK1201" t="str">
        <f>IF(Table1[[#This Row],[WorkLifeBalance]]=1,"Poor",IF(Table1[[#This Row],[WorkLifeBalance]]=2,"Fair",IF(Table1[[#This Row],[WorkLifeBalance]]=3,"Good","Excellent")))</f>
        <v>Fair</v>
      </c>
    </row>
    <row r="1202" spans="1:37" x14ac:dyDescent="0.3">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c r="AJ1202" t="str">
        <f>IF(Table1[[#This Row],[Column1]]&lt;=30,"18-30",IF(Table1[[#This Row],[Column1]]&lt;=50,"31-50","51+"))</f>
        <v>31-50</v>
      </c>
      <c r="AK1202" t="str">
        <f>IF(Table1[[#This Row],[WorkLifeBalance]]=1,"Poor",IF(Table1[[#This Row],[WorkLifeBalance]]=2,"Fair",IF(Table1[[#This Row],[WorkLifeBalance]]=3,"Good","Excellent")))</f>
        <v>Good</v>
      </c>
    </row>
    <row r="1203" spans="1:37" x14ac:dyDescent="0.3">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c r="AJ1203" t="str">
        <f>IF(Table1[[#This Row],[Column1]]&lt;=30,"18-30",IF(Table1[[#This Row],[Column1]]&lt;=50,"31-50","51+"))</f>
        <v>18-30</v>
      </c>
      <c r="AK1203" t="str">
        <f>IF(Table1[[#This Row],[WorkLifeBalance]]=1,"Poor",IF(Table1[[#This Row],[WorkLifeBalance]]=2,"Fair",IF(Table1[[#This Row],[WorkLifeBalance]]=3,"Good","Excellent")))</f>
        <v>Good</v>
      </c>
    </row>
    <row r="1204" spans="1:37" x14ac:dyDescent="0.3">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c r="AJ1204" t="str">
        <f>IF(Table1[[#This Row],[Column1]]&lt;=30,"18-30",IF(Table1[[#This Row],[Column1]]&lt;=50,"31-50","51+"))</f>
        <v>31-50</v>
      </c>
      <c r="AK1204" t="str">
        <f>IF(Table1[[#This Row],[WorkLifeBalance]]=1,"Poor",IF(Table1[[#This Row],[WorkLifeBalance]]=2,"Fair",IF(Table1[[#This Row],[WorkLifeBalance]]=3,"Good","Excellent")))</f>
        <v>Fair</v>
      </c>
    </row>
    <row r="1205" spans="1:37" x14ac:dyDescent="0.3">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c r="AJ1205" t="str">
        <f>IF(Table1[[#This Row],[Column1]]&lt;=30,"18-30",IF(Table1[[#This Row],[Column1]]&lt;=50,"31-50","51+"))</f>
        <v>51+</v>
      </c>
      <c r="AK1205" t="str">
        <f>IF(Table1[[#This Row],[WorkLifeBalance]]=1,"Poor",IF(Table1[[#This Row],[WorkLifeBalance]]=2,"Fair",IF(Table1[[#This Row],[WorkLifeBalance]]=3,"Good","Excellent")))</f>
        <v>Good</v>
      </c>
    </row>
    <row r="1206" spans="1:37" x14ac:dyDescent="0.3">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c r="AJ1206" t="str">
        <f>IF(Table1[[#This Row],[Column1]]&lt;=30,"18-30",IF(Table1[[#This Row],[Column1]]&lt;=50,"31-50","51+"))</f>
        <v>31-50</v>
      </c>
      <c r="AK1206" t="str">
        <f>IF(Table1[[#This Row],[WorkLifeBalance]]=1,"Poor",IF(Table1[[#This Row],[WorkLifeBalance]]=2,"Fair",IF(Table1[[#This Row],[WorkLifeBalance]]=3,"Good","Excellent")))</f>
        <v>Good</v>
      </c>
    </row>
    <row r="1207" spans="1:37" x14ac:dyDescent="0.3">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c r="AJ1207" t="str">
        <f>IF(Table1[[#This Row],[Column1]]&lt;=30,"18-30",IF(Table1[[#This Row],[Column1]]&lt;=50,"31-50","51+"))</f>
        <v>31-50</v>
      </c>
      <c r="AK1207" t="str">
        <f>IF(Table1[[#This Row],[WorkLifeBalance]]=1,"Poor",IF(Table1[[#This Row],[WorkLifeBalance]]=2,"Fair",IF(Table1[[#This Row],[WorkLifeBalance]]=3,"Good","Excellent")))</f>
        <v>Good</v>
      </c>
    </row>
    <row r="1208" spans="1:37" x14ac:dyDescent="0.3">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c r="AJ1208" t="str">
        <f>IF(Table1[[#This Row],[Column1]]&lt;=30,"18-30",IF(Table1[[#This Row],[Column1]]&lt;=50,"31-50","51+"))</f>
        <v>18-30</v>
      </c>
      <c r="AK1208" t="str">
        <f>IF(Table1[[#This Row],[WorkLifeBalance]]=1,"Poor",IF(Table1[[#This Row],[WorkLifeBalance]]=2,"Fair",IF(Table1[[#This Row],[WorkLifeBalance]]=3,"Good","Excellent")))</f>
        <v>Good</v>
      </c>
    </row>
    <row r="1209" spans="1:37" x14ac:dyDescent="0.3">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c r="AJ1209" t="str">
        <f>IF(Table1[[#This Row],[Column1]]&lt;=30,"18-30",IF(Table1[[#This Row],[Column1]]&lt;=50,"31-50","51+"))</f>
        <v>51+</v>
      </c>
      <c r="AK1209" t="str">
        <f>IF(Table1[[#This Row],[WorkLifeBalance]]=1,"Poor",IF(Table1[[#This Row],[WorkLifeBalance]]=2,"Fair",IF(Table1[[#This Row],[WorkLifeBalance]]=3,"Good","Excellent")))</f>
        <v>Good</v>
      </c>
    </row>
    <row r="1210" spans="1:37" x14ac:dyDescent="0.3">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c r="AJ1210" t="str">
        <f>IF(Table1[[#This Row],[Column1]]&lt;=30,"18-30",IF(Table1[[#This Row],[Column1]]&lt;=50,"31-50","51+"))</f>
        <v>31-50</v>
      </c>
      <c r="AK1210" t="str">
        <f>IF(Table1[[#This Row],[WorkLifeBalance]]=1,"Poor",IF(Table1[[#This Row],[WorkLifeBalance]]=2,"Fair",IF(Table1[[#This Row],[WorkLifeBalance]]=3,"Good","Excellent")))</f>
        <v>Excellent</v>
      </c>
    </row>
    <row r="1211" spans="1:37" x14ac:dyDescent="0.3">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c r="AJ1211" t="str">
        <f>IF(Table1[[#This Row],[Column1]]&lt;=30,"18-30",IF(Table1[[#This Row],[Column1]]&lt;=50,"31-50","51+"))</f>
        <v>51+</v>
      </c>
      <c r="AK1211" t="str">
        <f>IF(Table1[[#This Row],[WorkLifeBalance]]=1,"Poor",IF(Table1[[#This Row],[WorkLifeBalance]]=2,"Fair",IF(Table1[[#This Row],[WorkLifeBalance]]=3,"Good","Excellent")))</f>
        <v>Excellent</v>
      </c>
    </row>
    <row r="1212" spans="1:37" x14ac:dyDescent="0.3">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c r="AJ1212" t="str">
        <f>IF(Table1[[#This Row],[Column1]]&lt;=30,"18-30",IF(Table1[[#This Row],[Column1]]&lt;=50,"31-50","51+"))</f>
        <v>31-50</v>
      </c>
      <c r="AK1212" t="str">
        <f>IF(Table1[[#This Row],[WorkLifeBalance]]=1,"Poor",IF(Table1[[#This Row],[WorkLifeBalance]]=2,"Fair",IF(Table1[[#This Row],[WorkLifeBalance]]=3,"Good","Excellent")))</f>
        <v>Good</v>
      </c>
    </row>
    <row r="1213" spans="1:37" x14ac:dyDescent="0.3">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c r="AJ1213" t="str">
        <f>IF(Table1[[#This Row],[Column1]]&lt;=30,"18-30",IF(Table1[[#This Row],[Column1]]&lt;=50,"31-50","51+"))</f>
        <v>31-50</v>
      </c>
      <c r="AK1213" t="str">
        <f>IF(Table1[[#This Row],[WorkLifeBalance]]=1,"Poor",IF(Table1[[#This Row],[WorkLifeBalance]]=2,"Fair",IF(Table1[[#This Row],[WorkLifeBalance]]=3,"Good","Excellent")))</f>
        <v>Fair</v>
      </c>
    </row>
    <row r="1214" spans="1:37" x14ac:dyDescent="0.3">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c r="AJ1214" t="str">
        <f>IF(Table1[[#This Row],[Column1]]&lt;=30,"18-30",IF(Table1[[#This Row],[Column1]]&lt;=50,"31-50","51+"))</f>
        <v>31-50</v>
      </c>
      <c r="AK1214" t="str">
        <f>IF(Table1[[#This Row],[WorkLifeBalance]]=1,"Poor",IF(Table1[[#This Row],[WorkLifeBalance]]=2,"Fair",IF(Table1[[#This Row],[WorkLifeBalance]]=3,"Good","Excellent")))</f>
        <v>Good</v>
      </c>
    </row>
    <row r="1215" spans="1:37" x14ac:dyDescent="0.3">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c r="AJ1215" t="str">
        <f>IF(Table1[[#This Row],[Column1]]&lt;=30,"18-30",IF(Table1[[#This Row],[Column1]]&lt;=50,"31-50","51+"))</f>
        <v>18-30</v>
      </c>
      <c r="AK1215" t="str">
        <f>IF(Table1[[#This Row],[WorkLifeBalance]]=1,"Poor",IF(Table1[[#This Row],[WorkLifeBalance]]=2,"Fair",IF(Table1[[#This Row],[WorkLifeBalance]]=3,"Good","Excellent")))</f>
        <v>Good</v>
      </c>
    </row>
    <row r="1216" spans="1:37" x14ac:dyDescent="0.3">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c r="AJ1216" t="str">
        <f>IF(Table1[[#This Row],[Column1]]&lt;=30,"18-30",IF(Table1[[#This Row],[Column1]]&lt;=50,"31-50","51+"))</f>
        <v>31-50</v>
      </c>
      <c r="AK1216" t="str">
        <f>IF(Table1[[#This Row],[WorkLifeBalance]]=1,"Poor",IF(Table1[[#This Row],[WorkLifeBalance]]=2,"Fair",IF(Table1[[#This Row],[WorkLifeBalance]]=3,"Good","Excellent")))</f>
        <v>Good</v>
      </c>
    </row>
    <row r="1217" spans="1:37" x14ac:dyDescent="0.3">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c r="AJ1217" t="str">
        <f>IF(Table1[[#This Row],[Column1]]&lt;=30,"18-30",IF(Table1[[#This Row],[Column1]]&lt;=50,"31-50","51+"))</f>
        <v>31-50</v>
      </c>
      <c r="AK1217" t="str">
        <f>IF(Table1[[#This Row],[WorkLifeBalance]]=1,"Poor",IF(Table1[[#This Row],[WorkLifeBalance]]=2,"Fair",IF(Table1[[#This Row],[WorkLifeBalance]]=3,"Good","Excellent")))</f>
        <v>Excellent</v>
      </c>
    </row>
    <row r="1218" spans="1:37" x14ac:dyDescent="0.3">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c r="AJ1218" t="str">
        <f>IF(Table1[[#This Row],[Column1]]&lt;=30,"18-30",IF(Table1[[#This Row],[Column1]]&lt;=50,"31-50","51+"))</f>
        <v>31-50</v>
      </c>
      <c r="AK1218" t="str">
        <f>IF(Table1[[#This Row],[WorkLifeBalance]]=1,"Poor",IF(Table1[[#This Row],[WorkLifeBalance]]=2,"Fair",IF(Table1[[#This Row],[WorkLifeBalance]]=3,"Good","Excellent")))</f>
        <v>Good</v>
      </c>
    </row>
    <row r="1219" spans="1:37" x14ac:dyDescent="0.3">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c r="AJ1219" t="str">
        <f>IF(Table1[[#This Row],[Column1]]&lt;=30,"18-30",IF(Table1[[#This Row],[Column1]]&lt;=50,"31-50","51+"))</f>
        <v>18-30</v>
      </c>
      <c r="AK1219" t="str">
        <f>IF(Table1[[#This Row],[WorkLifeBalance]]=1,"Poor",IF(Table1[[#This Row],[WorkLifeBalance]]=2,"Fair",IF(Table1[[#This Row],[WorkLifeBalance]]=3,"Good","Excellent")))</f>
        <v>Good</v>
      </c>
    </row>
    <row r="1220" spans="1:37" x14ac:dyDescent="0.3">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c r="AJ1220" t="str">
        <f>IF(Table1[[#This Row],[Column1]]&lt;=30,"18-30",IF(Table1[[#This Row],[Column1]]&lt;=50,"31-50","51+"))</f>
        <v>31-50</v>
      </c>
      <c r="AK1220" t="str">
        <f>IF(Table1[[#This Row],[WorkLifeBalance]]=1,"Poor",IF(Table1[[#This Row],[WorkLifeBalance]]=2,"Fair",IF(Table1[[#This Row],[WorkLifeBalance]]=3,"Good","Excellent")))</f>
        <v>Good</v>
      </c>
    </row>
    <row r="1221" spans="1:37" x14ac:dyDescent="0.3">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c r="AJ1221" t="str">
        <f>IF(Table1[[#This Row],[Column1]]&lt;=30,"18-30",IF(Table1[[#This Row],[Column1]]&lt;=50,"31-50","51+"))</f>
        <v>18-30</v>
      </c>
      <c r="AK1221" t="str">
        <f>IF(Table1[[#This Row],[WorkLifeBalance]]=1,"Poor",IF(Table1[[#This Row],[WorkLifeBalance]]=2,"Fair",IF(Table1[[#This Row],[WorkLifeBalance]]=3,"Good","Excellent")))</f>
        <v>Good</v>
      </c>
    </row>
    <row r="1222" spans="1:37" x14ac:dyDescent="0.3">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c r="AJ1222" t="str">
        <f>IF(Table1[[#This Row],[Column1]]&lt;=30,"18-30",IF(Table1[[#This Row],[Column1]]&lt;=50,"31-50","51+"))</f>
        <v>31-50</v>
      </c>
      <c r="AK1222" t="str">
        <f>IF(Table1[[#This Row],[WorkLifeBalance]]=1,"Poor",IF(Table1[[#This Row],[WorkLifeBalance]]=2,"Fair",IF(Table1[[#This Row],[WorkLifeBalance]]=3,"Good","Excellent")))</f>
        <v>Fair</v>
      </c>
    </row>
    <row r="1223" spans="1:37" x14ac:dyDescent="0.3">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c r="AJ1223" t="str">
        <f>IF(Table1[[#This Row],[Column1]]&lt;=30,"18-30",IF(Table1[[#This Row],[Column1]]&lt;=50,"31-50","51+"))</f>
        <v>31-50</v>
      </c>
      <c r="AK1223" t="str">
        <f>IF(Table1[[#This Row],[WorkLifeBalance]]=1,"Poor",IF(Table1[[#This Row],[WorkLifeBalance]]=2,"Fair",IF(Table1[[#This Row],[WorkLifeBalance]]=3,"Good","Excellent")))</f>
        <v>Fair</v>
      </c>
    </row>
    <row r="1224" spans="1:37" x14ac:dyDescent="0.3">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c r="AJ1224" t="str">
        <f>IF(Table1[[#This Row],[Column1]]&lt;=30,"18-30",IF(Table1[[#This Row],[Column1]]&lt;=50,"31-50","51+"))</f>
        <v>18-30</v>
      </c>
      <c r="AK1224" t="str">
        <f>IF(Table1[[#This Row],[WorkLifeBalance]]=1,"Poor",IF(Table1[[#This Row],[WorkLifeBalance]]=2,"Fair",IF(Table1[[#This Row],[WorkLifeBalance]]=3,"Good","Excellent")))</f>
        <v>Good</v>
      </c>
    </row>
    <row r="1225" spans="1:37" x14ac:dyDescent="0.3">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c r="AJ1225" t="str">
        <f>IF(Table1[[#This Row],[Column1]]&lt;=30,"18-30",IF(Table1[[#This Row],[Column1]]&lt;=50,"31-50","51+"))</f>
        <v>31-50</v>
      </c>
      <c r="AK1225" t="str">
        <f>IF(Table1[[#This Row],[WorkLifeBalance]]=1,"Poor",IF(Table1[[#This Row],[WorkLifeBalance]]=2,"Fair",IF(Table1[[#This Row],[WorkLifeBalance]]=3,"Good","Excellent")))</f>
        <v>Poor</v>
      </c>
    </row>
    <row r="1226" spans="1:37" x14ac:dyDescent="0.3">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c r="AJ1226" t="str">
        <f>IF(Table1[[#This Row],[Column1]]&lt;=30,"18-30",IF(Table1[[#This Row],[Column1]]&lt;=50,"31-50","51+"))</f>
        <v>18-30</v>
      </c>
      <c r="AK1226" t="str">
        <f>IF(Table1[[#This Row],[WorkLifeBalance]]=1,"Poor",IF(Table1[[#This Row],[WorkLifeBalance]]=2,"Fair",IF(Table1[[#This Row],[WorkLifeBalance]]=3,"Good","Excellent")))</f>
        <v>Excellent</v>
      </c>
    </row>
    <row r="1227" spans="1:37" x14ac:dyDescent="0.3">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c r="AJ1227" t="str">
        <f>IF(Table1[[#This Row],[Column1]]&lt;=30,"18-30",IF(Table1[[#This Row],[Column1]]&lt;=50,"31-50","51+"))</f>
        <v>31-50</v>
      </c>
      <c r="AK1227" t="str">
        <f>IF(Table1[[#This Row],[WorkLifeBalance]]=1,"Poor",IF(Table1[[#This Row],[WorkLifeBalance]]=2,"Fair",IF(Table1[[#This Row],[WorkLifeBalance]]=3,"Good","Excellent")))</f>
        <v>Good</v>
      </c>
    </row>
    <row r="1228" spans="1:37" x14ac:dyDescent="0.3">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c r="AJ1228" t="str">
        <f>IF(Table1[[#This Row],[Column1]]&lt;=30,"18-30",IF(Table1[[#This Row],[Column1]]&lt;=50,"31-50","51+"))</f>
        <v>31-50</v>
      </c>
      <c r="AK1228" t="str">
        <f>IF(Table1[[#This Row],[WorkLifeBalance]]=1,"Poor",IF(Table1[[#This Row],[WorkLifeBalance]]=2,"Fair",IF(Table1[[#This Row],[WorkLifeBalance]]=3,"Good","Excellent")))</f>
        <v>Fair</v>
      </c>
    </row>
    <row r="1229" spans="1:37" x14ac:dyDescent="0.3">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c r="AJ1229" t="str">
        <f>IF(Table1[[#This Row],[Column1]]&lt;=30,"18-30",IF(Table1[[#This Row],[Column1]]&lt;=50,"31-50","51+"))</f>
        <v>31-50</v>
      </c>
      <c r="AK1229" t="str">
        <f>IF(Table1[[#This Row],[WorkLifeBalance]]=1,"Poor",IF(Table1[[#This Row],[WorkLifeBalance]]=2,"Fair",IF(Table1[[#This Row],[WorkLifeBalance]]=3,"Good","Excellent")))</f>
        <v>Excellent</v>
      </c>
    </row>
    <row r="1230" spans="1:37" x14ac:dyDescent="0.3">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c r="AJ1230" t="str">
        <f>IF(Table1[[#This Row],[Column1]]&lt;=30,"18-30",IF(Table1[[#This Row],[Column1]]&lt;=50,"31-50","51+"))</f>
        <v>31-50</v>
      </c>
      <c r="AK1230" t="str">
        <f>IF(Table1[[#This Row],[WorkLifeBalance]]=1,"Poor",IF(Table1[[#This Row],[WorkLifeBalance]]=2,"Fair",IF(Table1[[#This Row],[WorkLifeBalance]]=3,"Good","Excellent")))</f>
        <v>Good</v>
      </c>
    </row>
    <row r="1231" spans="1:37" x14ac:dyDescent="0.3">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c r="AJ1231" t="str">
        <f>IF(Table1[[#This Row],[Column1]]&lt;=30,"18-30",IF(Table1[[#This Row],[Column1]]&lt;=50,"31-50","51+"))</f>
        <v>31-50</v>
      </c>
      <c r="AK1231" t="str">
        <f>IF(Table1[[#This Row],[WorkLifeBalance]]=1,"Poor",IF(Table1[[#This Row],[WorkLifeBalance]]=2,"Fair",IF(Table1[[#This Row],[WorkLifeBalance]]=3,"Good","Excellent")))</f>
        <v>Good</v>
      </c>
    </row>
    <row r="1232" spans="1:37" x14ac:dyDescent="0.3">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c r="AJ1232" t="str">
        <f>IF(Table1[[#This Row],[Column1]]&lt;=30,"18-30",IF(Table1[[#This Row],[Column1]]&lt;=50,"31-50","51+"))</f>
        <v>18-30</v>
      </c>
      <c r="AK1232" t="str">
        <f>IF(Table1[[#This Row],[WorkLifeBalance]]=1,"Poor",IF(Table1[[#This Row],[WorkLifeBalance]]=2,"Fair",IF(Table1[[#This Row],[WorkLifeBalance]]=3,"Good","Excellent")))</f>
        <v>Excellent</v>
      </c>
    </row>
    <row r="1233" spans="1:37" x14ac:dyDescent="0.3">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c r="AJ1233" t="str">
        <f>IF(Table1[[#This Row],[Column1]]&lt;=30,"18-30",IF(Table1[[#This Row],[Column1]]&lt;=50,"31-50","51+"))</f>
        <v>31-50</v>
      </c>
      <c r="AK1233" t="str">
        <f>IF(Table1[[#This Row],[WorkLifeBalance]]=1,"Poor",IF(Table1[[#This Row],[WorkLifeBalance]]=2,"Fair",IF(Table1[[#This Row],[WorkLifeBalance]]=3,"Good","Excellent")))</f>
        <v>Good</v>
      </c>
    </row>
    <row r="1234" spans="1:37" x14ac:dyDescent="0.3">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c r="AJ1234" t="str">
        <f>IF(Table1[[#This Row],[Column1]]&lt;=30,"18-30",IF(Table1[[#This Row],[Column1]]&lt;=50,"31-50","51+"))</f>
        <v>31-50</v>
      </c>
      <c r="AK1234" t="str">
        <f>IF(Table1[[#This Row],[WorkLifeBalance]]=1,"Poor",IF(Table1[[#This Row],[WorkLifeBalance]]=2,"Fair",IF(Table1[[#This Row],[WorkLifeBalance]]=3,"Good","Excellent")))</f>
        <v>Good</v>
      </c>
    </row>
    <row r="1235" spans="1:37" x14ac:dyDescent="0.3">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c r="AJ1235" t="str">
        <f>IF(Table1[[#This Row],[Column1]]&lt;=30,"18-30",IF(Table1[[#This Row],[Column1]]&lt;=50,"31-50","51+"))</f>
        <v>18-30</v>
      </c>
      <c r="AK1235" t="str">
        <f>IF(Table1[[#This Row],[WorkLifeBalance]]=1,"Poor",IF(Table1[[#This Row],[WorkLifeBalance]]=2,"Fair",IF(Table1[[#This Row],[WorkLifeBalance]]=3,"Good","Excellent")))</f>
        <v>Fair</v>
      </c>
    </row>
    <row r="1236" spans="1:37" x14ac:dyDescent="0.3">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c r="AJ1236" t="str">
        <f>IF(Table1[[#This Row],[Column1]]&lt;=30,"18-30",IF(Table1[[#This Row],[Column1]]&lt;=50,"31-50","51+"))</f>
        <v>31-50</v>
      </c>
      <c r="AK1236" t="str">
        <f>IF(Table1[[#This Row],[WorkLifeBalance]]=1,"Poor",IF(Table1[[#This Row],[WorkLifeBalance]]=2,"Fair",IF(Table1[[#This Row],[WorkLifeBalance]]=3,"Good","Excellent")))</f>
        <v>Poor</v>
      </c>
    </row>
    <row r="1237" spans="1:37" x14ac:dyDescent="0.3">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c r="AJ1237" t="str">
        <f>IF(Table1[[#This Row],[Column1]]&lt;=30,"18-30",IF(Table1[[#This Row],[Column1]]&lt;=50,"31-50","51+"))</f>
        <v>31-50</v>
      </c>
      <c r="AK1237" t="str">
        <f>IF(Table1[[#This Row],[WorkLifeBalance]]=1,"Poor",IF(Table1[[#This Row],[WorkLifeBalance]]=2,"Fair",IF(Table1[[#This Row],[WorkLifeBalance]]=3,"Good","Excellent")))</f>
        <v>Fair</v>
      </c>
    </row>
    <row r="1238" spans="1:37" x14ac:dyDescent="0.3">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c r="AJ1238" t="str">
        <f>IF(Table1[[#This Row],[Column1]]&lt;=30,"18-30",IF(Table1[[#This Row],[Column1]]&lt;=50,"31-50","51+"))</f>
        <v>31-50</v>
      </c>
      <c r="AK1238" t="str">
        <f>IF(Table1[[#This Row],[WorkLifeBalance]]=1,"Poor",IF(Table1[[#This Row],[WorkLifeBalance]]=2,"Fair",IF(Table1[[#This Row],[WorkLifeBalance]]=3,"Good","Excellent")))</f>
        <v>Good</v>
      </c>
    </row>
    <row r="1239" spans="1:37" x14ac:dyDescent="0.3">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c r="AJ1239" t="str">
        <f>IF(Table1[[#This Row],[Column1]]&lt;=30,"18-30",IF(Table1[[#This Row],[Column1]]&lt;=50,"31-50","51+"))</f>
        <v>31-50</v>
      </c>
      <c r="AK1239" t="str">
        <f>IF(Table1[[#This Row],[WorkLifeBalance]]=1,"Poor",IF(Table1[[#This Row],[WorkLifeBalance]]=2,"Fair",IF(Table1[[#This Row],[WorkLifeBalance]]=3,"Good","Excellent")))</f>
        <v>Good</v>
      </c>
    </row>
    <row r="1240" spans="1:37" x14ac:dyDescent="0.3">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c r="AJ1240" t="str">
        <f>IF(Table1[[#This Row],[Column1]]&lt;=30,"18-30",IF(Table1[[#This Row],[Column1]]&lt;=50,"31-50","51+"))</f>
        <v>18-30</v>
      </c>
      <c r="AK1240" t="str">
        <f>IF(Table1[[#This Row],[WorkLifeBalance]]=1,"Poor",IF(Table1[[#This Row],[WorkLifeBalance]]=2,"Fair",IF(Table1[[#This Row],[WorkLifeBalance]]=3,"Good","Excellent")))</f>
        <v>Poor</v>
      </c>
    </row>
    <row r="1241" spans="1:37" x14ac:dyDescent="0.3">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c r="AJ1241" t="str">
        <f>IF(Table1[[#This Row],[Column1]]&lt;=30,"18-30",IF(Table1[[#This Row],[Column1]]&lt;=50,"31-50","51+"))</f>
        <v>31-50</v>
      </c>
      <c r="AK1241" t="str">
        <f>IF(Table1[[#This Row],[WorkLifeBalance]]=1,"Poor",IF(Table1[[#This Row],[WorkLifeBalance]]=2,"Fair",IF(Table1[[#This Row],[WorkLifeBalance]]=3,"Good","Excellent")))</f>
        <v>Fair</v>
      </c>
    </row>
    <row r="1242" spans="1:37" x14ac:dyDescent="0.3">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c r="AJ1242" t="str">
        <f>IF(Table1[[#This Row],[Column1]]&lt;=30,"18-30",IF(Table1[[#This Row],[Column1]]&lt;=50,"31-50","51+"))</f>
        <v>31-50</v>
      </c>
      <c r="AK1242" t="str">
        <f>IF(Table1[[#This Row],[WorkLifeBalance]]=1,"Poor",IF(Table1[[#This Row],[WorkLifeBalance]]=2,"Fair",IF(Table1[[#This Row],[WorkLifeBalance]]=3,"Good","Excellent")))</f>
        <v>Good</v>
      </c>
    </row>
    <row r="1243" spans="1:37" x14ac:dyDescent="0.3">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c r="AJ1243" t="str">
        <f>IF(Table1[[#This Row],[Column1]]&lt;=30,"18-30",IF(Table1[[#This Row],[Column1]]&lt;=50,"31-50","51+"))</f>
        <v>31-50</v>
      </c>
      <c r="AK1243" t="str">
        <f>IF(Table1[[#This Row],[WorkLifeBalance]]=1,"Poor",IF(Table1[[#This Row],[WorkLifeBalance]]=2,"Fair",IF(Table1[[#This Row],[WorkLifeBalance]]=3,"Good","Excellent")))</f>
        <v>Poor</v>
      </c>
    </row>
    <row r="1244" spans="1:37" x14ac:dyDescent="0.3">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c r="AJ1244" t="str">
        <f>IF(Table1[[#This Row],[Column1]]&lt;=30,"18-30",IF(Table1[[#This Row],[Column1]]&lt;=50,"31-50","51+"))</f>
        <v>31-50</v>
      </c>
      <c r="AK1244" t="str">
        <f>IF(Table1[[#This Row],[WorkLifeBalance]]=1,"Poor",IF(Table1[[#This Row],[WorkLifeBalance]]=2,"Fair",IF(Table1[[#This Row],[WorkLifeBalance]]=3,"Good","Excellent")))</f>
        <v>Fair</v>
      </c>
    </row>
    <row r="1245" spans="1:37" x14ac:dyDescent="0.3">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c r="AJ1245" t="str">
        <f>IF(Table1[[#This Row],[Column1]]&lt;=30,"18-30",IF(Table1[[#This Row],[Column1]]&lt;=50,"31-50","51+"))</f>
        <v>31-50</v>
      </c>
      <c r="AK1245" t="str">
        <f>IF(Table1[[#This Row],[WorkLifeBalance]]=1,"Poor",IF(Table1[[#This Row],[WorkLifeBalance]]=2,"Fair",IF(Table1[[#This Row],[WorkLifeBalance]]=3,"Good","Excellent")))</f>
        <v>Excellent</v>
      </c>
    </row>
    <row r="1246" spans="1:37" x14ac:dyDescent="0.3">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c r="AJ1246" t="str">
        <f>IF(Table1[[#This Row],[Column1]]&lt;=30,"18-30",IF(Table1[[#This Row],[Column1]]&lt;=50,"31-50","51+"))</f>
        <v>18-30</v>
      </c>
      <c r="AK1246" t="str">
        <f>IF(Table1[[#This Row],[WorkLifeBalance]]=1,"Poor",IF(Table1[[#This Row],[WorkLifeBalance]]=2,"Fair",IF(Table1[[#This Row],[WorkLifeBalance]]=3,"Good","Excellent")))</f>
        <v>Good</v>
      </c>
    </row>
    <row r="1247" spans="1:37" x14ac:dyDescent="0.3">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c r="AJ1247" t="str">
        <f>IF(Table1[[#This Row],[Column1]]&lt;=30,"18-30",IF(Table1[[#This Row],[Column1]]&lt;=50,"31-50","51+"))</f>
        <v>18-30</v>
      </c>
      <c r="AK1247" t="str">
        <f>IF(Table1[[#This Row],[WorkLifeBalance]]=1,"Poor",IF(Table1[[#This Row],[WorkLifeBalance]]=2,"Fair",IF(Table1[[#This Row],[WorkLifeBalance]]=3,"Good","Excellent")))</f>
        <v>Good</v>
      </c>
    </row>
    <row r="1248" spans="1:37" x14ac:dyDescent="0.3">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c r="AJ1248" t="str">
        <f>IF(Table1[[#This Row],[Column1]]&lt;=30,"18-30",IF(Table1[[#This Row],[Column1]]&lt;=50,"31-50","51+"))</f>
        <v>18-30</v>
      </c>
      <c r="AK1248" t="str">
        <f>IF(Table1[[#This Row],[WorkLifeBalance]]=1,"Poor",IF(Table1[[#This Row],[WorkLifeBalance]]=2,"Fair",IF(Table1[[#This Row],[WorkLifeBalance]]=3,"Good","Excellent")))</f>
        <v>Fair</v>
      </c>
    </row>
    <row r="1249" spans="1:37" x14ac:dyDescent="0.3">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c r="AJ1249" t="str">
        <f>IF(Table1[[#This Row],[Column1]]&lt;=30,"18-30",IF(Table1[[#This Row],[Column1]]&lt;=50,"31-50","51+"))</f>
        <v>31-50</v>
      </c>
      <c r="AK1249" t="str">
        <f>IF(Table1[[#This Row],[WorkLifeBalance]]=1,"Poor",IF(Table1[[#This Row],[WorkLifeBalance]]=2,"Fair",IF(Table1[[#This Row],[WorkLifeBalance]]=3,"Good","Excellent")))</f>
        <v>Good</v>
      </c>
    </row>
    <row r="1250" spans="1:37" x14ac:dyDescent="0.3">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c r="AJ1250" t="str">
        <f>IF(Table1[[#This Row],[Column1]]&lt;=30,"18-30",IF(Table1[[#This Row],[Column1]]&lt;=50,"31-50","51+"))</f>
        <v>18-30</v>
      </c>
      <c r="AK1250" t="str">
        <f>IF(Table1[[#This Row],[WorkLifeBalance]]=1,"Poor",IF(Table1[[#This Row],[WorkLifeBalance]]=2,"Fair",IF(Table1[[#This Row],[WorkLifeBalance]]=3,"Good","Excellent")))</f>
        <v>Fair</v>
      </c>
    </row>
    <row r="1251" spans="1:37" x14ac:dyDescent="0.3">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c r="AJ1251" t="str">
        <f>IF(Table1[[#This Row],[Column1]]&lt;=30,"18-30",IF(Table1[[#This Row],[Column1]]&lt;=50,"31-50","51+"))</f>
        <v>18-30</v>
      </c>
      <c r="AK1251" t="str">
        <f>IF(Table1[[#This Row],[WorkLifeBalance]]=1,"Poor",IF(Table1[[#This Row],[WorkLifeBalance]]=2,"Fair",IF(Table1[[#This Row],[WorkLifeBalance]]=3,"Good","Excellent")))</f>
        <v>Good</v>
      </c>
    </row>
    <row r="1252" spans="1:37" x14ac:dyDescent="0.3">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c r="AJ1252" t="str">
        <f>IF(Table1[[#This Row],[Column1]]&lt;=30,"18-30",IF(Table1[[#This Row],[Column1]]&lt;=50,"31-50","51+"))</f>
        <v>18-30</v>
      </c>
      <c r="AK1252" t="str">
        <f>IF(Table1[[#This Row],[WorkLifeBalance]]=1,"Poor",IF(Table1[[#This Row],[WorkLifeBalance]]=2,"Fair",IF(Table1[[#This Row],[WorkLifeBalance]]=3,"Good","Excellent")))</f>
        <v>Excellent</v>
      </c>
    </row>
    <row r="1253" spans="1:37" x14ac:dyDescent="0.3">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c r="AJ1253" t="str">
        <f>IF(Table1[[#This Row],[Column1]]&lt;=30,"18-30",IF(Table1[[#This Row],[Column1]]&lt;=50,"31-50","51+"))</f>
        <v>18-30</v>
      </c>
      <c r="AK1253" t="str">
        <f>IF(Table1[[#This Row],[WorkLifeBalance]]=1,"Poor",IF(Table1[[#This Row],[WorkLifeBalance]]=2,"Fair",IF(Table1[[#This Row],[WorkLifeBalance]]=3,"Good","Excellent")))</f>
        <v>Good</v>
      </c>
    </row>
    <row r="1254" spans="1:37" x14ac:dyDescent="0.3">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c r="AJ1254" t="str">
        <f>IF(Table1[[#This Row],[Column1]]&lt;=30,"18-30",IF(Table1[[#This Row],[Column1]]&lt;=50,"31-50","51+"))</f>
        <v>31-50</v>
      </c>
      <c r="AK1254" t="str">
        <f>IF(Table1[[#This Row],[WorkLifeBalance]]=1,"Poor",IF(Table1[[#This Row],[WorkLifeBalance]]=2,"Fair",IF(Table1[[#This Row],[WorkLifeBalance]]=3,"Good","Excellent")))</f>
        <v>Good</v>
      </c>
    </row>
    <row r="1255" spans="1:37" x14ac:dyDescent="0.3">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c r="AJ1255" t="str">
        <f>IF(Table1[[#This Row],[Column1]]&lt;=30,"18-30",IF(Table1[[#This Row],[Column1]]&lt;=50,"31-50","51+"))</f>
        <v>31-50</v>
      </c>
      <c r="AK1255" t="str">
        <f>IF(Table1[[#This Row],[WorkLifeBalance]]=1,"Poor",IF(Table1[[#This Row],[WorkLifeBalance]]=2,"Fair",IF(Table1[[#This Row],[WorkLifeBalance]]=3,"Good","Excellent")))</f>
        <v>Fair</v>
      </c>
    </row>
    <row r="1256" spans="1:37" x14ac:dyDescent="0.3">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c r="AJ1256" t="str">
        <f>IF(Table1[[#This Row],[Column1]]&lt;=30,"18-30",IF(Table1[[#This Row],[Column1]]&lt;=50,"31-50","51+"))</f>
        <v>31-50</v>
      </c>
      <c r="AK1256" t="str">
        <f>IF(Table1[[#This Row],[WorkLifeBalance]]=1,"Poor",IF(Table1[[#This Row],[WorkLifeBalance]]=2,"Fair",IF(Table1[[#This Row],[WorkLifeBalance]]=3,"Good","Excellent")))</f>
        <v>Excellent</v>
      </c>
    </row>
    <row r="1257" spans="1:37" x14ac:dyDescent="0.3">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c r="AJ1257" t="str">
        <f>IF(Table1[[#This Row],[Column1]]&lt;=30,"18-30",IF(Table1[[#This Row],[Column1]]&lt;=50,"31-50","51+"))</f>
        <v>31-50</v>
      </c>
      <c r="AK1257" t="str">
        <f>IF(Table1[[#This Row],[WorkLifeBalance]]=1,"Poor",IF(Table1[[#This Row],[WorkLifeBalance]]=2,"Fair",IF(Table1[[#This Row],[WorkLifeBalance]]=3,"Good","Excellent")))</f>
        <v>Fair</v>
      </c>
    </row>
    <row r="1258" spans="1:37" x14ac:dyDescent="0.3">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c r="AJ1258" t="str">
        <f>IF(Table1[[#This Row],[Column1]]&lt;=30,"18-30",IF(Table1[[#This Row],[Column1]]&lt;=50,"31-50","51+"))</f>
        <v>31-50</v>
      </c>
      <c r="AK1258" t="str">
        <f>IF(Table1[[#This Row],[WorkLifeBalance]]=1,"Poor",IF(Table1[[#This Row],[WorkLifeBalance]]=2,"Fair",IF(Table1[[#This Row],[WorkLifeBalance]]=3,"Good","Excellent")))</f>
        <v>Fair</v>
      </c>
    </row>
    <row r="1259" spans="1:37" x14ac:dyDescent="0.3">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c r="AJ1259" t="str">
        <f>IF(Table1[[#This Row],[Column1]]&lt;=30,"18-30",IF(Table1[[#This Row],[Column1]]&lt;=50,"31-50","51+"))</f>
        <v>31-50</v>
      </c>
      <c r="AK1259" t="str">
        <f>IF(Table1[[#This Row],[WorkLifeBalance]]=1,"Poor",IF(Table1[[#This Row],[WorkLifeBalance]]=2,"Fair",IF(Table1[[#This Row],[WorkLifeBalance]]=3,"Good","Excellent")))</f>
        <v>Good</v>
      </c>
    </row>
    <row r="1260" spans="1:37" x14ac:dyDescent="0.3">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c r="AJ1260" t="str">
        <f>IF(Table1[[#This Row],[Column1]]&lt;=30,"18-30",IF(Table1[[#This Row],[Column1]]&lt;=50,"31-50","51+"))</f>
        <v>18-30</v>
      </c>
      <c r="AK1260" t="str">
        <f>IF(Table1[[#This Row],[WorkLifeBalance]]=1,"Poor",IF(Table1[[#This Row],[WorkLifeBalance]]=2,"Fair",IF(Table1[[#This Row],[WorkLifeBalance]]=3,"Good","Excellent")))</f>
        <v>Good</v>
      </c>
    </row>
    <row r="1261" spans="1:37" x14ac:dyDescent="0.3">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c r="AJ1261" t="str">
        <f>IF(Table1[[#This Row],[Column1]]&lt;=30,"18-30",IF(Table1[[#This Row],[Column1]]&lt;=50,"31-50","51+"))</f>
        <v>18-30</v>
      </c>
      <c r="AK1261" t="str">
        <f>IF(Table1[[#This Row],[WorkLifeBalance]]=1,"Poor",IF(Table1[[#This Row],[WorkLifeBalance]]=2,"Fair",IF(Table1[[#This Row],[WorkLifeBalance]]=3,"Good","Excellent")))</f>
        <v>Good</v>
      </c>
    </row>
    <row r="1262" spans="1:37" x14ac:dyDescent="0.3">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c r="AJ1262" t="str">
        <f>IF(Table1[[#This Row],[Column1]]&lt;=30,"18-30",IF(Table1[[#This Row],[Column1]]&lt;=50,"31-50","51+"))</f>
        <v>31-50</v>
      </c>
      <c r="AK1262" t="str">
        <f>IF(Table1[[#This Row],[WorkLifeBalance]]=1,"Poor",IF(Table1[[#This Row],[WorkLifeBalance]]=2,"Fair",IF(Table1[[#This Row],[WorkLifeBalance]]=3,"Good","Excellent")))</f>
        <v>Good</v>
      </c>
    </row>
    <row r="1263" spans="1:37" x14ac:dyDescent="0.3">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c r="AJ1263" t="str">
        <f>IF(Table1[[#This Row],[Column1]]&lt;=30,"18-30",IF(Table1[[#This Row],[Column1]]&lt;=50,"31-50","51+"))</f>
        <v>31-50</v>
      </c>
      <c r="AK1263" t="str">
        <f>IF(Table1[[#This Row],[WorkLifeBalance]]=1,"Poor",IF(Table1[[#This Row],[WorkLifeBalance]]=2,"Fair",IF(Table1[[#This Row],[WorkLifeBalance]]=3,"Good","Excellent")))</f>
        <v>Good</v>
      </c>
    </row>
    <row r="1264" spans="1:37" x14ac:dyDescent="0.3">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c r="AJ1264" t="str">
        <f>IF(Table1[[#This Row],[Column1]]&lt;=30,"18-30",IF(Table1[[#This Row],[Column1]]&lt;=50,"31-50","51+"))</f>
        <v>31-50</v>
      </c>
      <c r="AK1264" t="str">
        <f>IF(Table1[[#This Row],[WorkLifeBalance]]=1,"Poor",IF(Table1[[#This Row],[WorkLifeBalance]]=2,"Fair",IF(Table1[[#This Row],[WorkLifeBalance]]=3,"Good","Excellent")))</f>
        <v>Good</v>
      </c>
    </row>
    <row r="1265" spans="1:37" x14ac:dyDescent="0.3">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c r="AJ1265" t="str">
        <f>IF(Table1[[#This Row],[Column1]]&lt;=30,"18-30",IF(Table1[[#This Row],[Column1]]&lt;=50,"31-50","51+"))</f>
        <v>31-50</v>
      </c>
      <c r="AK1265" t="str">
        <f>IF(Table1[[#This Row],[WorkLifeBalance]]=1,"Poor",IF(Table1[[#This Row],[WorkLifeBalance]]=2,"Fair",IF(Table1[[#This Row],[WorkLifeBalance]]=3,"Good","Excellent")))</f>
        <v>Fair</v>
      </c>
    </row>
    <row r="1266" spans="1:37" x14ac:dyDescent="0.3">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c r="AJ1266" t="str">
        <f>IF(Table1[[#This Row],[Column1]]&lt;=30,"18-30",IF(Table1[[#This Row],[Column1]]&lt;=50,"31-50","51+"))</f>
        <v>51+</v>
      </c>
      <c r="AK1266" t="str">
        <f>IF(Table1[[#This Row],[WorkLifeBalance]]=1,"Poor",IF(Table1[[#This Row],[WorkLifeBalance]]=2,"Fair",IF(Table1[[#This Row],[WorkLifeBalance]]=3,"Good","Excellent")))</f>
        <v>Good</v>
      </c>
    </row>
    <row r="1267" spans="1:37" x14ac:dyDescent="0.3">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c r="AJ1267" t="str">
        <f>IF(Table1[[#This Row],[Column1]]&lt;=30,"18-30",IF(Table1[[#This Row],[Column1]]&lt;=50,"31-50","51+"))</f>
        <v>31-50</v>
      </c>
      <c r="AK1267" t="str">
        <f>IF(Table1[[#This Row],[WorkLifeBalance]]=1,"Poor",IF(Table1[[#This Row],[WorkLifeBalance]]=2,"Fair",IF(Table1[[#This Row],[WorkLifeBalance]]=3,"Good","Excellent")))</f>
        <v>Fair</v>
      </c>
    </row>
    <row r="1268" spans="1:37" x14ac:dyDescent="0.3">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c r="AJ1268" t="str">
        <f>IF(Table1[[#This Row],[Column1]]&lt;=30,"18-30",IF(Table1[[#This Row],[Column1]]&lt;=50,"31-50","51+"))</f>
        <v>31-50</v>
      </c>
      <c r="AK1268" t="str">
        <f>IF(Table1[[#This Row],[WorkLifeBalance]]=1,"Poor",IF(Table1[[#This Row],[WorkLifeBalance]]=2,"Fair",IF(Table1[[#This Row],[WorkLifeBalance]]=3,"Good","Excellent")))</f>
        <v>Good</v>
      </c>
    </row>
    <row r="1269" spans="1:37" x14ac:dyDescent="0.3">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c r="AJ1269" t="str">
        <f>IF(Table1[[#This Row],[Column1]]&lt;=30,"18-30",IF(Table1[[#This Row],[Column1]]&lt;=50,"31-50","51+"))</f>
        <v>31-50</v>
      </c>
      <c r="AK1269" t="str">
        <f>IF(Table1[[#This Row],[WorkLifeBalance]]=1,"Poor",IF(Table1[[#This Row],[WorkLifeBalance]]=2,"Fair",IF(Table1[[#This Row],[WorkLifeBalance]]=3,"Good","Excellent")))</f>
        <v>Good</v>
      </c>
    </row>
    <row r="1270" spans="1:37" x14ac:dyDescent="0.3">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c r="AJ1270" t="str">
        <f>IF(Table1[[#This Row],[Column1]]&lt;=30,"18-30",IF(Table1[[#This Row],[Column1]]&lt;=50,"31-50","51+"))</f>
        <v>51+</v>
      </c>
      <c r="AK1270" t="str">
        <f>IF(Table1[[#This Row],[WorkLifeBalance]]=1,"Poor",IF(Table1[[#This Row],[WorkLifeBalance]]=2,"Fair",IF(Table1[[#This Row],[WorkLifeBalance]]=3,"Good","Excellent")))</f>
        <v>Fair</v>
      </c>
    </row>
    <row r="1271" spans="1:37" x14ac:dyDescent="0.3">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c r="AJ1271" t="str">
        <f>IF(Table1[[#This Row],[Column1]]&lt;=30,"18-30",IF(Table1[[#This Row],[Column1]]&lt;=50,"31-50","51+"))</f>
        <v>31-50</v>
      </c>
      <c r="AK1271" t="str">
        <f>IF(Table1[[#This Row],[WorkLifeBalance]]=1,"Poor",IF(Table1[[#This Row],[WorkLifeBalance]]=2,"Fair",IF(Table1[[#This Row],[WorkLifeBalance]]=3,"Good","Excellent")))</f>
        <v>Good</v>
      </c>
    </row>
    <row r="1272" spans="1:37" x14ac:dyDescent="0.3">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c r="AJ1272" t="str">
        <f>IF(Table1[[#This Row],[Column1]]&lt;=30,"18-30",IF(Table1[[#This Row],[Column1]]&lt;=50,"31-50","51+"))</f>
        <v>31-50</v>
      </c>
      <c r="AK1272" t="str">
        <f>IF(Table1[[#This Row],[WorkLifeBalance]]=1,"Poor",IF(Table1[[#This Row],[WorkLifeBalance]]=2,"Fair",IF(Table1[[#This Row],[WorkLifeBalance]]=3,"Good","Excellent")))</f>
        <v>Good</v>
      </c>
    </row>
    <row r="1273" spans="1:37" x14ac:dyDescent="0.3">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c r="AJ1273" t="str">
        <f>IF(Table1[[#This Row],[Column1]]&lt;=30,"18-30",IF(Table1[[#This Row],[Column1]]&lt;=50,"31-50","51+"))</f>
        <v>18-30</v>
      </c>
      <c r="AK1273" t="str">
        <f>IF(Table1[[#This Row],[WorkLifeBalance]]=1,"Poor",IF(Table1[[#This Row],[WorkLifeBalance]]=2,"Fair",IF(Table1[[#This Row],[WorkLifeBalance]]=3,"Good","Excellent")))</f>
        <v>Good</v>
      </c>
    </row>
    <row r="1274" spans="1:37" x14ac:dyDescent="0.3">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c r="AJ1274" t="str">
        <f>IF(Table1[[#This Row],[Column1]]&lt;=30,"18-30",IF(Table1[[#This Row],[Column1]]&lt;=50,"31-50","51+"))</f>
        <v>31-50</v>
      </c>
      <c r="AK1274" t="str">
        <f>IF(Table1[[#This Row],[WorkLifeBalance]]=1,"Poor",IF(Table1[[#This Row],[WorkLifeBalance]]=2,"Fair",IF(Table1[[#This Row],[WorkLifeBalance]]=3,"Good","Excellent")))</f>
        <v>Good</v>
      </c>
    </row>
    <row r="1275" spans="1:37" x14ac:dyDescent="0.3">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c r="AJ1275" t="str">
        <f>IF(Table1[[#This Row],[Column1]]&lt;=30,"18-30",IF(Table1[[#This Row],[Column1]]&lt;=50,"31-50","51+"))</f>
        <v>18-30</v>
      </c>
      <c r="AK1275" t="str">
        <f>IF(Table1[[#This Row],[WorkLifeBalance]]=1,"Poor",IF(Table1[[#This Row],[WorkLifeBalance]]=2,"Fair",IF(Table1[[#This Row],[WorkLifeBalance]]=3,"Good","Excellent")))</f>
        <v>Good</v>
      </c>
    </row>
    <row r="1276" spans="1:37" x14ac:dyDescent="0.3">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c r="AJ1276" t="str">
        <f>IF(Table1[[#This Row],[Column1]]&lt;=30,"18-30",IF(Table1[[#This Row],[Column1]]&lt;=50,"31-50","51+"))</f>
        <v>31-50</v>
      </c>
      <c r="AK1276" t="str">
        <f>IF(Table1[[#This Row],[WorkLifeBalance]]=1,"Poor",IF(Table1[[#This Row],[WorkLifeBalance]]=2,"Fair",IF(Table1[[#This Row],[WorkLifeBalance]]=3,"Good","Excellent")))</f>
        <v>Good</v>
      </c>
    </row>
    <row r="1277" spans="1:37" x14ac:dyDescent="0.3">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c r="AJ1277" t="str">
        <f>IF(Table1[[#This Row],[Column1]]&lt;=30,"18-30",IF(Table1[[#This Row],[Column1]]&lt;=50,"31-50","51+"))</f>
        <v>51+</v>
      </c>
      <c r="AK1277" t="str">
        <f>IF(Table1[[#This Row],[WorkLifeBalance]]=1,"Poor",IF(Table1[[#This Row],[WorkLifeBalance]]=2,"Fair",IF(Table1[[#This Row],[WorkLifeBalance]]=3,"Good","Excellent")))</f>
        <v>Good</v>
      </c>
    </row>
    <row r="1278" spans="1:37" x14ac:dyDescent="0.3">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c r="AJ1278" t="str">
        <f>IF(Table1[[#This Row],[Column1]]&lt;=30,"18-30",IF(Table1[[#This Row],[Column1]]&lt;=50,"31-50","51+"))</f>
        <v>31-50</v>
      </c>
      <c r="AK1278" t="str">
        <f>IF(Table1[[#This Row],[WorkLifeBalance]]=1,"Poor",IF(Table1[[#This Row],[WorkLifeBalance]]=2,"Fair",IF(Table1[[#This Row],[WorkLifeBalance]]=3,"Good","Excellent")))</f>
        <v>Good</v>
      </c>
    </row>
    <row r="1279" spans="1:37" x14ac:dyDescent="0.3">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c r="AJ1279" t="str">
        <f>IF(Table1[[#This Row],[Column1]]&lt;=30,"18-30",IF(Table1[[#This Row],[Column1]]&lt;=50,"31-50","51+"))</f>
        <v>31-50</v>
      </c>
      <c r="AK1279" t="str">
        <f>IF(Table1[[#This Row],[WorkLifeBalance]]=1,"Poor",IF(Table1[[#This Row],[WorkLifeBalance]]=2,"Fair",IF(Table1[[#This Row],[WorkLifeBalance]]=3,"Good","Excellent")))</f>
        <v>Good</v>
      </c>
    </row>
    <row r="1280" spans="1:37" x14ac:dyDescent="0.3">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c r="AJ1280" t="str">
        <f>IF(Table1[[#This Row],[Column1]]&lt;=30,"18-30",IF(Table1[[#This Row],[Column1]]&lt;=50,"31-50","51+"))</f>
        <v>31-50</v>
      </c>
      <c r="AK1280" t="str">
        <f>IF(Table1[[#This Row],[WorkLifeBalance]]=1,"Poor",IF(Table1[[#This Row],[WorkLifeBalance]]=2,"Fair",IF(Table1[[#This Row],[WorkLifeBalance]]=3,"Good","Excellent")))</f>
        <v>Good</v>
      </c>
    </row>
    <row r="1281" spans="1:37" x14ac:dyDescent="0.3">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c r="AJ1281" t="str">
        <f>IF(Table1[[#This Row],[Column1]]&lt;=30,"18-30",IF(Table1[[#This Row],[Column1]]&lt;=50,"31-50","51+"))</f>
        <v>31-50</v>
      </c>
      <c r="AK1281" t="str">
        <f>IF(Table1[[#This Row],[WorkLifeBalance]]=1,"Poor",IF(Table1[[#This Row],[WorkLifeBalance]]=2,"Fair",IF(Table1[[#This Row],[WorkLifeBalance]]=3,"Good","Excellent")))</f>
        <v>Fair</v>
      </c>
    </row>
    <row r="1282" spans="1:37" x14ac:dyDescent="0.3">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c r="AJ1282" t="str">
        <f>IF(Table1[[#This Row],[Column1]]&lt;=30,"18-30",IF(Table1[[#This Row],[Column1]]&lt;=50,"31-50","51+"))</f>
        <v>31-50</v>
      </c>
      <c r="AK1282" t="str">
        <f>IF(Table1[[#This Row],[WorkLifeBalance]]=1,"Poor",IF(Table1[[#This Row],[WorkLifeBalance]]=2,"Fair",IF(Table1[[#This Row],[WorkLifeBalance]]=3,"Good","Excellent")))</f>
        <v>Fair</v>
      </c>
    </row>
    <row r="1283" spans="1:37" x14ac:dyDescent="0.3">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c r="AJ1283" t="str">
        <f>IF(Table1[[#This Row],[Column1]]&lt;=30,"18-30",IF(Table1[[#This Row],[Column1]]&lt;=50,"31-50","51+"))</f>
        <v>31-50</v>
      </c>
      <c r="AK1283" t="str">
        <f>IF(Table1[[#This Row],[WorkLifeBalance]]=1,"Poor",IF(Table1[[#This Row],[WorkLifeBalance]]=2,"Fair",IF(Table1[[#This Row],[WorkLifeBalance]]=3,"Good","Excellent")))</f>
        <v>Good</v>
      </c>
    </row>
    <row r="1284" spans="1:37" x14ac:dyDescent="0.3">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c r="AJ1284" t="str">
        <f>IF(Table1[[#This Row],[Column1]]&lt;=30,"18-30",IF(Table1[[#This Row],[Column1]]&lt;=50,"31-50","51+"))</f>
        <v>31-50</v>
      </c>
      <c r="AK1284" t="str">
        <f>IF(Table1[[#This Row],[WorkLifeBalance]]=1,"Poor",IF(Table1[[#This Row],[WorkLifeBalance]]=2,"Fair",IF(Table1[[#This Row],[WorkLifeBalance]]=3,"Good","Excellent")))</f>
        <v>Good</v>
      </c>
    </row>
    <row r="1285" spans="1:37" x14ac:dyDescent="0.3">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c r="AJ1285" t="str">
        <f>IF(Table1[[#This Row],[Column1]]&lt;=30,"18-30",IF(Table1[[#This Row],[Column1]]&lt;=50,"31-50","51+"))</f>
        <v>18-30</v>
      </c>
      <c r="AK1285" t="str">
        <f>IF(Table1[[#This Row],[WorkLifeBalance]]=1,"Poor",IF(Table1[[#This Row],[WorkLifeBalance]]=2,"Fair",IF(Table1[[#This Row],[WorkLifeBalance]]=3,"Good","Excellent")))</f>
        <v>Excellent</v>
      </c>
    </row>
    <row r="1286" spans="1:37" x14ac:dyDescent="0.3">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c r="AJ1286" t="str">
        <f>IF(Table1[[#This Row],[Column1]]&lt;=30,"18-30",IF(Table1[[#This Row],[Column1]]&lt;=50,"31-50","51+"))</f>
        <v>31-50</v>
      </c>
      <c r="AK1286" t="str">
        <f>IF(Table1[[#This Row],[WorkLifeBalance]]=1,"Poor",IF(Table1[[#This Row],[WorkLifeBalance]]=2,"Fair",IF(Table1[[#This Row],[WorkLifeBalance]]=3,"Good","Excellent")))</f>
        <v>Good</v>
      </c>
    </row>
    <row r="1287" spans="1:37" x14ac:dyDescent="0.3">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c r="AJ1287" t="str">
        <f>IF(Table1[[#This Row],[Column1]]&lt;=30,"18-30",IF(Table1[[#This Row],[Column1]]&lt;=50,"31-50","51+"))</f>
        <v>31-50</v>
      </c>
      <c r="AK1287" t="str">
        <f>IF(Table1[[#This Row],[WorkLifeBalance]]=1,"Poor",IF(Table1[[#This Row],[WorkLifeBalance]]=2,"Fair",IF(Table1[[#This Row],[WorkLifeBalance]]=3,"Good","Excellent")))</f>
        <v>Good</v>
      </c>
    </row>
    <row r="1288" spans="1:37" x14ac:dyDescent="0.3">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c r="AJ1288" t="str">
        <f>IF(Table1[[#This Row],[Column1]]&lt;=30,"18-30",IF(Table1[[#This Row],[Column1]]&lt;=50,"31-50","51+"))</f>
        <v>31-50</v>
      </c>
      <c r="AK1288" t="str">
        <f>IF(Table1[[#This Row],[WorkLifeBalance]]=1,"Poor",IF(Table1[[#This Row],[WorkLifeBalance]]=2,"Fair",IF(Table1[[#This Row],[WorkLifeBalance]]=3,"Good","Excellent")))</f>
        <v>Fair</v>
      </c>
    </row>
    <row r="1289" spans="1:37" x14ac:dyDescent="0.3">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c r="AJ1289" t="str">
        <f>IF(Table1[[#This Row],[Column1]]&lt;=30,"18-30",IF(Table1[[#This Row],[Column1]]&lt;=50,"31-50","51+"))</f>
        <v>31-50</v>
      </c>
      <c r="AK1289" t="str">
        <f>IF(Table1[[#This Row],[WorkLifeBalance]]=1,"Poor",IF(Table1[[#This Row],[WorkLifeBalance]]=2,"Fair",IF(Table1[[#This Row],[WorkLifeBalance]]=3,"Good","Excellent")))</f>
        <v>Fair</v>
      </c>
    </row>
    <row r="1290" spans="1:37" x14ac:dyDescent="0.3">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c r="AJ1290" t="str">
        <f>IF(Table1[[#This Row],[Column1]]&lt;=30,"18-30",IF(Table1[[#This Row],[Column1]]&lt;=50,"31-50","51+"))</f>
        <v>31-50</v>
      </c>
      <c r="AK1290" t="str">
        <f>IF(Table1[[#This Row],[WorkLifeBalance]]=1,"Poor",IF(Table1[[#This Row],[WorkLifeBalance]]=2,"Fair",IF(Table1[[#This Row],[WorkLifeBalance]]=3,"Good","Excellent")))</f>
        <v>Good</v>
      </c>
    </row>
    <row r="1291" spans="1:37" x14ac:dyDescent="0.3">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c r="AJ1291" t="str">
        <f>IF(Table1[[#This Row],[Column1]]&lt;=30,"18-30",IF(Table1[[#This Row],[Column1]]&lt;=50,"31-50","51+"))</f>
        <v>31-50</v>
      </c>
      <c r="AK1291" t="str">
        <f>IF(Table1[[#This Row],[WorkLifeBalance]]=1,"Poor",IF(Table1[[#This Row],[WorkLifeBalance]]=2,"Fair",IF(Table1[[#This Row],[WorkLifeBalance]]=3,"Good","Excellent")))</f>
        <v>Good</v>
      </c>
    </row>
    <row r="1292" spans="1:37" x14ac:dyDescent="0.3">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c r="AJ1292" t="str">
        <f>IF(Table1[[#This Row],[Column1]]&lt;=30,"18-30",IF(Table1[[#This Row],[Column1]]&lt;=50,"31-50","51+"))</f>
        <v>31-50</v>
      </c>
      <c r="AK1292" t="str">
        <f>IF(Table1[[#This Row],[WorkLifeBalance]]=1,"Poor",IF(Table1[[#This Row],[WorkLifeBalance]]=2,"Fair",IF(Table1[[#This Row],[WorkLifeBalance]]=3,"Good","Excellent")))</f>
        <v>Fair</v>
      </c>
    </row>
    <row r="1293" spans="1:37" x14ac:dyDescent="0.3">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c r="AJ1293" t="str">
        <f>IF(Table1[[#This Row],[Column1]]&lt;=30,"18-30",IF(Table1[[#This Row],[Column1]]&lt;=50,"31-50","51+"))</f>
        <v>31-50</v>
      </c>
      <c r="AK1293" t="str">
        <f>IF(Table1[[#This Row],[WorkLifeBalance]]=1,"Poor",IF(Table1[[#This Row],[WorkLifeBalance]]=2,"Fair",IF(Table1[[#This Row],[WorkLifeBalance]]=3,"Good","Excellent")))</f>
        <v>Poor</v>
      </c>
    </row>
    <row r="1294" spans="1:37" x14ac:dyDescent="0.3">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c r="AJ1294" t="str">
        <f>IF(Table1[[#This Row],[Column1]]&lt;=30,"18-30",IF(Table1[[#This Row],[Column1]]&lt;=50,"31-50","51+"))</f>
        <v>31-50</v>
      </c>
      <c r="AK1294" t="str">
        <f>IF(Table1[[#This Row],[WorkLifeBalance]]=1,"Poor",IF(Table1[[#This Row],[WorkLifeBalance]]=2,"Fair",IF(Table1[[#This Row],[WorkLifeBalance]]=3,"Good","Excellent")))</f>
        <v>Good</v>
      </c>
    </row>
    <row r="1295" spans="1:37" x14ac:dyDescent="0.3">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c r="AJ1295" t="str">
        <f>IF(Table1[[#This Row],[Column1]]&lt;=30,"18-30",IF(Table1[[#This Row],[Column1]]&lt;=50,"31-50","51+"))</f>
        <v>31-50</v>
      </c>
      <c r="AK1295" t="str">
        <f>IF(Table1[[#This Row],[WorkLifeBalance]]=1,"Poor",IF(Table1[[#This Row],[WorkLifeBalance]]=2,"Fair",IF(Table1[[#This Row],[WorkLifeBalance]]=3,"Good","Excellent")))</f>
        <v>Fair</v>
      </c>
    </row>
    <row r="1296" spans="1:37" x14ac:dyDescent="0.3">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c r="AJ1296" t="str">
        <f>IF(Table1[[#This Row],[Column1]]&lt;=30,"18-30",IF(Table1[[#This Row],[Column1]]&lt;=50,"31-50","51+"))</f>
        <v>31-50</v>
      </c>
      <c r="AK1296" t="str">
        <f>IF(Table1[[#This Row],[WorkLifeBalance]]=1,"Poor",IF(Table1[[#This Row],[WorkLifeBalance]]=2,"Fair",IF(Table1[[#This Row],[WorkLifeBalance]]=3,"Good","Excellent")))</f>
        <v>Poor</v>
      </c>
    </row>
    <row r="1297" spans="1:37" x14ac:dyDescent="0.3">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c r="AJ1297" t="str">
        <f>IF(Table1[[#This Row],[Column1]]&lt;=30,"18-30",IF(Table1[[#This Row],[Column1]]&lt;=50,"31-50","51+"))</f>
        <v>31-50</v>
      </c>
      <c r="AK1297" t="str">
        <f>IF(Table1[[#This Row],[WorkLifeBalance]]=1,"Poor",IF(Table1[[#This Row],[WorkLifeBalance]]=2,"Fair",IF(Table1[[#This Row],[WorkLifeBalance]]=3,"Good","Excellent")))</f>
        <v>Excellent</v>
      </c>
    </row>
    <row r="1298" spans="1:37" x14ac:dyDescent="0.3">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c r="AJ1298" t="str">
        <f>IF(Table1[[#This Row],[Column1]]&lt;=30,"18-30",IF(Table1[[#This Row],[Column1]]&lt;=50,"31-50","51+"))</f>
        <v>18-30</v>
      </c>
      <c r="AK1298" t="str">
        <f>IF(Table1[[#This Row],[WorkLifeBalance]]=1,"Poor",IF(Table1[[#This Row],[WorkLifeBalance]]=2,"Fair",IF(Table1[[#This Row],[WorkLifeBalance]]=3,"Good","Excellent")))</f>
        <v>Good</v>
      </c>
    </row>
    <row r="1299" spans="1:37" x14ac:dyDescent="0.3">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c r="AJ1299" t="str">
        <f>IF(Table1[[#This Row],[Column1]]&lt;=30,"18-30",IF(Table1[[#This Row],[Column1]]&lt;=50,"31-50","51+"))</f>
        <v>18-30</v>
      </c>
      <c r="AK1299" t="str">
        <f>IF(Table1[[#This Row],[WorkLifeBalance]]=1,"Poor",IF(Table1[[#This Row],[WorkLifeBalance]]=2,"Fair",IF(Table1[[#This Row],[WorkLifeBalance]]=3,"Good","Excellent")))</f>
        <v>Good</v>
      </c>
    </row>
    <row r="1300" spans="1:37" x14ac:dyDescent="0.3">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c r="AJ1300" t="str">
        <f>IF(Table1[[#This Row],[Column1]]&lt;=30,"18-30",IF(Table1[[#This Row],[Column1]]&lt;=50,"31-50","51+"))</f>
        <v>31-50</v>
      </c>
      <c r="AK1300" t="str">
        <f>IF(Table1[[#This Row],[WorkLifeBalance]]=1,"Poor",IF(Table1[[#This Row],[WorkLifeBalance]]=2,"Fair",IF(Table1[[#This Row],[WorkLifeBalance]]=3,"Good","Excellent")))</f>
        <v>Excellent</v>
      </c>
    </row>
    <row r="1301" spans="1:37" x14ac:dyDescent="0.3">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c r="AJ1301" t="str">
        <f>IF(Table1[[#This Row],[Column1]]&lt;=30,"18-30",IF(Table1[[#This Row],[Column1]]&lt;=50,"31-50","51+"))</f>
        <v>31-50</v>
      </c>
      <c r="AK1301" t="str">
        <f>IF(Table1[[#This Row],[WorkLifeBalance]]=1,"Poor",IF(Table1[[#This Row],[WorkLifeBalance]]=2,"Fair",IF(Table1[[#This Row],[WorkLifeBalance]]=3,"Good","Excellent")))</f>
        <v>Good</v>
      </c>
    </row>
    <row r="1302" spans="1:37" x14ac:dyDescent="0.3">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c r="AJ1302" t="str">
        <f>IF(Table1[[#This Row],[Column1]]&lt;=30,"18-30",IF(Table1[[#This Row],[Column1]]&lt;=50,"31-50","51+"))</f>
        <v>31-50</v>
      </c>
      <c r="AK1302" t="str">
        <f>IF(Table1[[#This Row],[WorkLifeBalance]]=1,"Poor",IF(Table1[[#This Row],[WorkLifeBalance]]=2,"Fair",IF(Table1[[#This Row],[WorkLifeBalance]]=3,"Good","Excellent")))</f>
        <v>Good</v>
      </c>
    </row>
    <row r="1303" spans="1:37" x14ac:dyDescent="0.3">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c r="AJ1303" t="str">
        <f>IF(Table1[[#This Row],[Column1]]&lt;=30,"18-30",IF(Table1[[#This Row],[Column1]]&lt;=50,"31-50","51+"))</f>
        <v>51+</v>
      </c>
      <c r="AK1303" t="str">
        <f>IF(Table1[[#This Row],[WorkLifeBalance]]=1,"Poor",IF(Table1[[#This Row],[WorkLifeBalance]]=2,"Fair",IF(Table1[[#This Row],[WorkLifeBalance]]=3,"Good","Excellent")))</f>
        <v>Fair</v>
      </c>
    </row>
    <row r="1304" spans="1:37" x14ac:dyDescent="0.3">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c r="AJ1304" t="str">
        <f>IF(Table1[[#This Row],[Column1]]&lt;=30,"18-30",IF(Table1[[#This Row],[Column1]]&lt;=50,"31-50","51+"))</f>
        <v>31-50</v>
      </c>
      <c r="AK1304" t="str">
        <f>IF(Table1[[#This Row],[WorkLifeBalance]]=1,"Poor",IF(Table1[[#This Row],[WorkLifeBalance]]=2,"Fair",IF(Table1[[#This Row],[WorkLifeBalance]]=3,"Good","Excellent")))</f>
        <v>Excellent</v>
      </c>
    </row>
    <row r="1305" spans="1:37" x14ac:dyDescent="0.3">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c r="AJ1305" t="str">
        <f>IF(Table1[[#This Row],[Column1]]&lt;=30,"18-30",IF(Table1[[#This Row],[Column1]]&lt;=50,"31-50","51+"))</f>
        <v>31-50</v>
      </c>
      <c r="AK1305" t="str">
        <f>IF(Table1[[#This Row],[WorkLifeBalance]]=1,"Poor",IF(Table1[[#This Row],[WorkLifeBalance]]=2,"Fair",IF(Table1[[#This Row],[WorkLifeBalance]]=3,"Good","Excellent")))</f>
        <v>Good</v>
      </c>
    </row>
    <row r="1306" spans="1:37" x14ac:dyDescent="0.3">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c r="AJ1306" t="str">
        <f>IF(Table1[[#This Row],[Column1]]&lt;=30,"18-30",IF(Table1[[#This Row],[Column1]]&lt;=50,"31-50","51+"))</f>
        <v>31-50</v>
      </c>
      <c r="AK1306" t="str">
        <f>IF(Table1[[#This Row],[WorkLifeBalance]]=1,"Poor",IF(Table1[[#This Row],[WorkLifeBalance]]=2,"Fair",IF(Table1[[#This Row],[WorkLifeBalance]]=3,"Good","Excellent")))</f>
        <v>Good</v>
      </c>
    </row>
    <row r="1307" spans="1:37" x14ac:dyDescent="0.3">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c r="AJ1307" t="str">
        <f>IF(Table1[[#This Row],[Column1]]&lt;=30,"18-30",IF(Table1[[#This Row],[Column1]]&lt;=50,"31-50","51+"))</f>
        <v>51+</v>
      </c>
      <c r="AK1307" t="str">
        <f>IF(Table1[[#This Row],[WorkLifeBalance]]=1,"Poor",IF(Table1[[#This Row],[WorkLifeBalance]]=2,"Fair",IF(Table1[[#This Row],[WorkLifeBalance]]=3,"Good","Excellent")))</f>
        <v>Fair</v>
      </c>
    </row>
    <row r="1308" spans="1:37" x14ac:dyDescent="0.3">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c r="AJ1308" t="str">
        <f>IF(Table1[[#This Row],[Column1]]&lt;=30,"18-30",IF(Table1[[#This Row],[Column1]]&lt;=50,"31-50","51+"))</f>
        <v>31-50</v>
      </c>
      <c r="AK1308" t="str">
        <f>IF(Table1[[#This Row],[WorkLifeBalance]]=1,"Poor",IF(Table1[[#This Row],[WorkLifeBalance]]=2,"Fair",IF(Table1[[#This Row],[WorkLifeBalance]]=3,"Good","Excellent")))</f>
        <v>Good</v>
      </c>
    </row>
    <row r="1309" spans="1:37" x14ac:dyDescent="0.3">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c r="AJ1309" t="str">
        <f>IF(Table1[[#This Row],[Column1]]&lt;=30,"18-30",IF(Table1[[#This Row],[Column1]]&lt;=50,"31-50","51+"))</f>
        <v>18-30</v>
      </c>
      <c r="AK1309" t="str">
        <f>IF(Table1[[#This Row],[WorkLifeBalance]]=1,"Poor",IF(Table1[[#This Row],[WorkLifeBalance]]=2,"Fair",IF(Table1[[#This Row],[WorkLifeBalance]]=3,"Good","Excellent")))</f>
        <v>Good</v>
      </c>
    </row>
    <row r="1310" spans="1:37" x14ac:dyDescent="0.3">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c r="AJ1310" t="str">
        <f>IF(Table1[[#This Row],[Column1]]&lt;=30,"18-30",IF(Table1[[#This Row],[Column1]]&lt;=50,"31-50","51+"))</f>
        <v>31-50</v>
      </c>
      <c r="AK1310" t="str">
        <f>IF(Table1[[#This Row],[WorkLifeBalance]]=1,"Poor",IF(Table1[[#This Row],[WorkLifeBalance]]=2,"Fair",IF(Table1[[#This Row],[WorkLifeBalance]]=3,"Good","Excellent")))</f>
        <v>Fair</v>
      </c>
    </row>
    <row r="1311" spans="1:37" x14ac:dyDescent="0.3">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c r="AJ1311" t="str">
        <f>IF(Table1[[#This Row],[Column1]]&lt;=30,"18-30",IF(Table1[[#This Row],[Column1]]&lt;=50,"31-50","51+"))</f>
        <v>18-30</v>
      </c>
      <c r="AK1311" t="str">
        <f>IF(Table1[[#This Row],[WorkLifeBalance]]=1,"Poor",IF(Table1[[#This Row],[WorkLifeBalance]]=2,"Fair",IF(Table1[[#This Row],[WorkLifeBalance]]=3,"Good","Excellent")))</f>
        <v>Good</v>
      </c>
    </row>
    <row r="1312" spans="1:37" x14ac:dyDescent="0.3">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c r="AJ1312" t="str">
        <f>IF(Table1[[#This Row],[Column1]]&lt;=30,"18-30",IF(Table1[[#This Row],[Column1]]&lt;=50,"31-50","51+"))</f>
        <v>51+</v>
      </c>
      <c r="AK1312" t="str">
        <f>IF(Table1[[#This Row],[WorkLifeBalance]]=1,"Poor",IF(Table1[[#This Row],[WorkLifeBalance]]=2,"Fair",IF(Table1[[#This Row],[WorkLifeBalance]]=3,"Good","Excellent")))</f>
        <v>Good</v>
      </c>
    </row>
    <row r="1313" spans="1:37" x14ac:dyDescent="0.3">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c r="AJ1313" t="str">
        <f>IF(Table1[[#This Row],[Column1]]&lt;=30,"18-30",IF(Table1[[#This Row],[Column1]]&lt;=50,"31-50","51+"))</f>
        <v>18-30</v>
      </c>
      <c r="AK1313" t="str">
        <f>IF(Table1[[#This Row],[WorkLifeBalance]]=1,"Poor",IF(Table1[[#This Row],[WorkLifeBalance]]=2,"Fair",IF(Table1[[#This Row],[WorkLifeBalance]]=3,"Good","Excellent")))</f>
        <v>Poor</v>
      </c>
    </row>
    <row r="1314" spans="1:37" x14ac:dyDescent="0.3">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c r="AJ1314" t="str">
        <f>IF(Table1[[#This Row],[Column1]]&lt;=30,"18-30",IF(Table1[[#This Row],[Column1]]&lt;=50,"31-50","51+"))</f>
        <v>31-50</v>
      </c>
      <c r="AK1314" t="str">
        <f>IF(Table1[[#This Row],[WorkLifeBalance]]=1,"Poor",IF(Table1[[#This Row],[WorkLifeBalance]]=2,"Fair",IF(Table1[[#This Row],[WorkLifeBalance]]=3,"Good","Excellent")))</f>
        <v>Good</v>
      </c>
    </row>
    <row r="1315" spans="1:37" x14ac:dyDescent="0.3">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c r="AJ1315" t="str">
        <f>IF(Table1[[#This Row],[Column1]]&lt;=30,"18-30",IF(Table1[[#This Row],[Column1]]&lt;=50,"31-50","51+"))</f>
        <v>18-30</v>
      </c>
      <c r="AK1315" t="str">
        <f>IF(Table1[[#This Row],[WorkLifeBalance]]=1,"Poor",IF(Table1[[#This Row],[WorkLifeBalance]]=2,"Fair",IF(Table1[[#This Row],[WorkLifeBalance]]=3,"Good","Excellent")))</f>
        <v>Good</v>
      </c>
    </row>
    <row r="1316" spans="1:37" x14ac:dyDescent="0.3">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c r="AJ1316" t="str">
        <f>IF(Table1[[#This Row],[Column1]]&lt;=30,"18-30",IF(Table1[[#This Row],[Column1]]&lt;=50,"31-50","51+"))</f>
        <v>31-50</v>
      </c>
      <c r="AK1316" t="str">
        <f>IF(Table1[[#This Row],[WorkLifeBalance]]=1,"Poor",IF(Table1[[#This Row],[WorkLifeBalance]]=2,"Fair",IF(Table1[[#This Row],[WorkLifeBalance]]=3,"Good","Excellent")))</f>
        <v>Excellent</v>
      </c>
    </row>
    <row r="1317" spans="1:37" x14ac:dyDescent="0.3">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c r="AJ1317" t="str">
        <f>IF(Table1[[#This Row],[Column1]]&lt;=30,"18-30",IF(Table1[[#This Row],[Column1]]&lt;=50,"31-50","51+"))</f>
        <v>31-50</v>
      </c>
      <c r="AK1317" t="str">
        <f>IF(Table1[[#This Row],[WorkLifeBalance]]=1,"Poor",IF(Table1[[#This Row],[WorkLifeBalance]]=2,"Fair",IF(Table1[[#This Row],[WorkLifeBalance]]=3,"Good","Excellent")))</f>
        <v>Good</v>
      </c>
    </row>
    <row r="1318" spans="1:37" x14ac:dyDescent="0.3">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c r="AJ1318" t="str">
        <f>IF(Table1[[#This Row],[Column1]]&lt;=30,"18-30",IF(Table1[[#This Row],[Column1]]&lt;=50,"31-50","51+"))</f>
        <v>31-50</v>
      </c>
      <c r="AK1318" t="str">
        <f>IF(Table1[[#This Row],[WorkLifeBalance]]=1,"Poor",IF(Table1[[#This Row],[WorkLifeBalance]]=2,"Fair",IF(Table1[[#This Row],[WorkLifeBalance]]=3,"Good","Excellent")))</f>
        <v>Good</v>
      </c>
    </row>
    <row r="1319" spans="1:37" x14ac:dyDescent="0.3">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c r="AJ1319" t="str">
        <f>IF(Table1[[#This Row],[Column1]]&lt;=30,"18-30",IF(Table1[[#This Row],[Column1]]&lt;=50,"31-50","51+"))</f>
        <v>18-30</v>
      </c>
      <c r="AK1319" t="str">
        <f>IF(Table1[[#This Row],[WorkLifeBalance]]=1,"Poor",IF(Table1[[#This Row],[WorkLifeBalance]]=2,"Fair",IF(Table1[[#This Row],[WorkLifeBalance]]=3,"Good","Excellent")))</f>
        <v>Fair</v>
      </c>
    </row>
    <row r="1320" spans="1:37" x14ac:dyDescent="0.3">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c r="AJ1320" t="str">
        <f>IF(Table1[[#This Row],[Column1]]&lt;=30,"18-30",IF(Table1[[#This Row],[Column1]]&lt;=50,"31-50","51+"))</f>
        <v>18-30</v>
      </c>
      <c r="AK1320" t="str">
        <f>IF(Table1[[#This Row],[WorkLifeBalance]]=1,"Poor",IF(Table1[[#This Row],[WorkLifeBalance]]=2,"Fair",IF(Table1[[#This Row],[WorkLifeBalance]]=3,"Good","Excellent")))</f>
        <v>Excellent</v>
      </c>
    </row>
    <row r="1321" spans="1:37" x14ac:dyDescent="0.3">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c r="AJ1321" t="str">
        <f>IF(Table1[[#This Row],[Column1]]&lt;=30,"18-30",IF(Table1[[#This Row],[Column1]]&lt;=50,"31-50","51+"))</f>
        <v>31-50</v>
      </c>
      <c r="AK1321" t="str">
        <f>IF(Table1[[#This Row],[WorkLifeBalance]]=1,"Poor",IF(Table1[[#This Row],[WorkLifeBalance]]=2,"Fair",IF(Table1[[#This Row],[WorkLifeBalance]]=3,"Good","Excellent")))</f>
        <v>Excellent</v>
      </c>
    </row>
    <row r="1322" spans="1:37" x14ac:dyDescent="0.3">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c r="AJ1322" t="str">
        <f>IF(Table1[[#This Row],[Column1]]&lt;=30,"18-30",IF(Table1[[#This Row],[Column1]]&lt;=50,"31-50","51+"))</f>
        <v>31-50</v>
      </c>
      <c r="AK1322" t="str">
        <f>IF(Table1[[#This Row],[WorkLifeBalance]]=1,"Poor",IF(Table1[[#This Row],[WorkLifeBalance]]=2,"Fair",IF(Table1[[#This Row],[WorkLifeBalance]]=3,"Good","Excellent")))</f>
        <v>Fair</v>
      </c>
    </row>
    <row r="1323" spans="1:37" x14ac:dyDescent="0.3">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c r="AJ1323" t="str">
        <f>IF(Table1[[#This Row],[Column1]]&lt;=30,"18-30",IF(Table1[[#This Row],[Column1]]&lt;=50,"31-50","51+"))</f>
        <v>31-50</v>
      </c>
      <c r="AK1323" t="str">
        <f>IF(Table1[[#This Row],[WorkLifeBalance]]=1,"Poor",IF(Table1[[#This Row],[WorkLifeBalance]]=2,"Fair",IF(Table1[[#This Row],[WorkLifeBalance]]=3,"Good","Excellent")))</f>
        <v>Good</v>
      </c>
    </row>
    <row r="1324" spans="1:37" x14ac:dyDescent="0.3">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c r="AJ1324" t="str">
        <f>IF(Table1[[#This Row],[Column1]]&lt;=30,"18-30",IF(Table1[[#This Row],[Column1]]&lt;=50,"31-50","51+"))</f>
        <v>31-50</v>
      </c>
      <c r="AK1324" t="str">
        <f>IF(Table1[[#This Row],[WorkLifeBalance]]=1,"Poor",IF(Table1[[#This Row],[WorkLifeBalance]]=2,"Fair",IF(Table1[[#This Row],[WorkLifeBalance]]=3,"Good","Excellent")))</f>
        <v>Fair</v>
      </c>
    </row>
    <row r="1325" spans="1:37" x14ac:dyDescent="0.3">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c r="AJ1325" t="str">
        <f>IF(Table1[[#This Row],[Column1]]&lt;=30,"18-30",IF(Table1[[#This Row],[Column1]]&lt;=50,"31-50","51+"))</f>
        <v>18-30</v>
      </c>
      <c r="AK1325" t="str">
        <f>IF(Table1[[#This Row],[WorkLifeBalance]]=1,"Poor",IF(Table1[[#This Row],[WorkLifeBalance]]=2,"Fair",IF(Table1[[#This Row],[WorkLifeBalance]]=3,"Good","Excellent")))</f>
        <v>Good</v>
      </c>
    </row>
    <row r="1326" spans="1:37" x14ac:dyDescent="0.3">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c r="AJ1326" t="str">
        <f>IF(Table1[[#This Row],[Column1]]&lt;=30,"18-30",IF(Table1[[#This Row],[Column1]]&lt;=50,"31-50","51+"))</f>
        <v>18-30</v>
      </c>
      <c r="AK1326" t="str">
        <f>IF(Table1[[#This Row],[WorkLifeBalance]]=1,"Poor",IF(Table1[[#This Row],[WorkLifeBalance]]=2,"Fair",IF(Table1[[#This Row],[WorkLifeBalance]]=3,"Good","Excellent")))</f>
        <v>Good</v>
      </c>
    </row>
    <row r="1327" spans="1:37" x14ac:dyDescent="0.3">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c r="AJ1327" t="str">
        <f>IF(Table1[[#This Row],[Column1]]&lt;=30,"18-30",IF(Table1[[#This Row],[Column1]]&lt;=50,"31-50","51+"))</f>
        <v>31-50</v>
      </c>
      <c r="AK1327" t="str">
        <f>IF(Table1[[#This Row],[WorkLifeBalance]]=1,"Poor",IF(Table1[[#This Row],[WorkLifeBalance]]=2,"Fair",IF(Table1[[#This Row],[WorkLifeBalance]]=3,"Good","Excellent")))</f>
        <v>Good</v>
      </c>
    </row>
    <row r="1328" spans="1:37" x14ac:dyDescent="0.3">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c r="AJ1328" t="str">
        <f>IF(Table1[[#This Row],[Column1]]&lt;=30,"18-30",IF(Table1[[#This Row],[Column1]]&lt;=50,"31-50","51+"))</f>
        <v>31-50</v>
      </c>
      <c r="AK1328" t="str">
        <f>IF(Table1[[#This Row],[WorkLifeBalance]]=1,"Poor",IF(Table1[[#This Row],[WorkLifeBalance]]=2,"Fair",IF(Table1[[#This Row],[WorkLifeBalance]]=3,"Good","Excellent")))</f>
        <v>Fair</v>
      </c>
    </row>
    <row r="1329" spans="1:37" x14ac:dyDescent="0.3">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c r="AJ1329" t="str">
        <f>IF(Table1[[#This Row],[Column1]]&lt;=30,"18-30",IF(Table1[[#This Row],[Column1]]&lt;=50,"31-50","51+"))</f>
        <v>31-50</v>
      </c>
      <c r="AK1329" t="str">
        <f>IF(Table1[[#This Row],[WorkLifeBalance]]=1,"Poor",IF(Table1[[#This Row],[WorkLifeBalance]]=2,"Fair",IF(Table1[[#This Row],[WorkLifeBalance]]=3,"Good","Excellent")))</f>
        <v>Good</v>
      </c>
    </row>
    <row r="1330" spans="1:37" x14ac:dyDescent="0.3">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c r="AJ1330" t="str">
        <f>IF(Table1[[#This Row],[Column1]]&lt;=30,"18-30",IF(Table1[[#This Row],[Column1]]&lt;=50,"31-50","51+"))</f>
        <v>18-30</v>
      </c>
      <c r="AK1330" t="str">
        <f>IF(Table1[[#This Row],[WorkLifeBalance]]=1,"Poor",IF(Table1[[#This Row],[WorkLifeBalance]]=2,"Fair",IF(Table1[[#This Row],[WorkLifeBalance]]=3,"Good","Excellent")))</f>
        <v>Good</v>
      </c>
    </row>
    <row r="1331" spans="1:37" x14ac:dyDescent="0.3">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c r="AJ1331" t="str">
        <f>IF(Table1[[#This Row],[Column1]]&lt;=30,"18-30",IF(Table1[[#This Row],[Column1]]&lt;=50,"31-50","51+"))</f>
        <v>18-30</v>
      </c>
      <c r="AK1331" t="str">
        <f>IF(Table1[[#This Row],[WorkLifeBalance]]=1,"Poor",IF(Table1[[#This Row],[WorkLifeBalance]]=2,"Fair",IF(Table1[[#This Row],[WorkLifeBalance]]=3,"Good","Excellent")))</f>
        <v>Good</v>
      </c>
    </row>
    <row r="1332" spans="1:37" x14ac:dyDescent="0.3">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c r="AJ1332" t="str">
        <f>IF(Table1[[#This Row],[Column1]]&lt;=30,"18-30",IF(Table1[[#This Row],[Column1]]&lt;=50,"31-50","51+"))</f>
        <v>31-50</v>
      </c>
      <c r="AK1332" t="str">
        <f>IF(Table1[[#This Row],[WorkLifeBalance]]=1,"Poor",IF(Table1[[#This Row],[WorkLifeBalance]]=2,"Fair",IF(Table1[[#This Row],[WorkLifeBalance]]=3,"Good","Excellent")))</f>
        <v>Good</v>
      </c>
    </row>
    <row r="1333" spans="1:37" x14ac:dyDescent="0.3">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c r="AJ1333" t="str">
        <f>IF(Table1[[#This Row],[Column1]]&lt;=30,"18-30",IF(Table1[[#This Row],[Column1]]&lt;=50,"31-50","51+"))</f>
        <v>31-50</v>
      </c>
      <c r="AK1333" t="str">
        <f>IF(Table1[[#This Row],[WorkLifeBalance]]=1,"Poor",IF(Table1[[#This Row],[WorkLifeBalance]]=2,"Fair",IF(Table1[[#This Row],[WorkLifeBalance]]=3,"Good","Excellent")))</f>
        <v>Good</v>
      </c>
    </row>
    <row r="1334" spans="1:37" x14ac:dyDescent="0.3">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c r="AJ1334" t="str">
        <f>IF(Table1[[#This Row],[Column1]]&lt;=30,"18-30",IF(Table1[[#This Row],[Column1]]&lt;=50,"31-50","51+"))</f>
        <v>18-30</v>
      </c>
      <c r="AK1334" t="str">
        <f>IF(Table1[[#This Row],[WorkLifeBalance]]=1,"Poor",IF(Table1[[#This Row],[WorkLifeBalance]]=2,"Fair",IF(Table1[[#This Row],[WorkLifeBalance]]=3,"Good","Excellent")))</f>
        <v>Fair</v>
      </c>
    </row>
    <row r="1335" spans="1:37" x14ac:dyDescent="0.3">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c r="AJ1335" t="str">
        <f>IF(Table1[[#This Row],[Column1]]&lt;=30,"18-30",IF(Table1[[#This Row],[Column1]]&lt;=50,"31-50","51+"))</f>
        <v>31-50</v>
      </c>
      <c r="AK1335" t="str">
        <f>IF(Table1[[#This Row],[WorkLifeBalance]]=1,"Poor",IF(Table1[[#This Row],[WorkLifeBalance]]=2,"Fair",IF(Table1[[#This Row],[WorkLifeBalance]]=3,"Good","Excellent")))</f>
        <v>Good</v>
      </c>
    </row>
    <row r="1336" spans="1:37" x14ac:dyDescent="0.3">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c r="AJ1336" t="str">
        <f>IF(Table1[[#This Row],[Column1]]&lt;=30,"18-30",IF(Table1[[#This Row],[Column1]]&lt;=50,"31-50","51+"))</f>
        <v>18-30</v>
      </c>
      <c r="AK1336" t="str">
        <f>IF(Table1[[#This Row],[WorkLifeBalance]]=1,"Poor",IF(Table1[[#This Row],[WorkLifeBalance]]=2,"Fair",IF(Table1[[#This Row],[WorkLifeBalance]]=3,"Good","Excellent")))</f>
        <v>Fair</v>
      </c>
    </row>
    <row r="1337" spans="1:37" x14ac:dyDescent="0.3">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c r="AJ1337" t="str">
        <f>IF(Table1[[#This Row],[Column1]]&lt;=30,"18-30",IF(Table1[[#This Row],[Column1]]&lt;=50,"31-50","51+"))</f>
        <v>31-50</v>
      </c>
      <c r="AK1337" t="str">
        <f>IF(Table1[[#This Row],[WorkLifeBalance]]=1,"Poor",IF(Table1[[#This Row],[WorkLifeBalance]]=2,"Fair",IF(Table1[[#This Row],[WorkLifeBalance]]=3,"Good","Excellent")))</f>
        <v>Good</v>
      </c>
    </row>
    <row r="1338" spans="1:37" x14ac:dyDescent="0.3">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c r="AJ1338" t="str">
        <f>IF(Table1[[#This Row],[Column1]]&lt;=30,"18-30",IF(Table1[[#This Row],[Column1]]&lt;=50,"31-50","51+"))</f>
        <v>51+</v>
      </c>
      <c r="AK1338" t="str">
        <f>IF(Table1[[#This Row],[WorkLifeBalance]]=1,"Poor",IF(Table1[[#This Row],[WorkLifeBalance]]=2,"Fair",IF(Table1[[#This Row],[WorkLifeBalance]]=3,"Good","Excellent")))</f>
        <v>Excellent</v>
      </c>
    </row>
    <row r="1339" spans="1:37" x14ac:dyDescent="0.3">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c r="AJ1339" t="str">
        <f>IF(Table1[[#This Row],[Column1]]&lt;=30,"18-30",IF(Table1[[#This Row],[Column1]]&lt;=50,"31-50","51+"))</f>
        <v>18-30</v>
      </c>
      <c r="AK1339" t="str">
        <f>IF(Table1[[#This Row],[WorkLifeBalance]]=1,"Poor",IF(Table1[[#This Row],[WorkLifeBalance]]=2,"Fair",IF(Table1[[#This Row],[WorkLifeBalance]]=3,"Good","Excellent")))</f>
        <v>Good</v>
      </c>
    </row>
    <row r="1340" spans="1:37" x14ac:dyDescent="0.3">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c r="AJ1340" t="str">
        <f>IF(Table1[[#This Row],[Column1]]&lt;=30,"18-30",IF(Table1[[#This Row],[Column1]]&lt;=50,"31-50","51+"))</f>
        <v>18-30</v>
      </c>
      <c r="AK1340" t="str">
        <f>IF(Table1[[#This Row],[WorkLifeBalance]]=1,"Poor",IF(Table1[[#This Row],[WorkLifeBalance]]=2,"Fair",IF(Table1[[#This Row],[WorkLifeBalance]]=3,"Good","Excellent")))</f>
        <v>Fair</v>
      </c>
    </row>
    <row r="1341" spans="1:37" x14ac:dyDescent="0.3">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c r="AJ1341" t="str">
        <f>IF(Table1[[#This Row],[Column1]]&lt;=30,"18-30",IF(Table1[[#This Row],[Column1]]&lt;=50,"31-50","51+"))</f>
        <v>18-30</v>
      </c>
      <c r="AK1341" t="str">
        <f>IF(Table1[[#This Row],[WorkLifeBalance]]=1,"Poor",IF(Table1[[#This Row],[WorkLifeBalance]]=2,"Fair",IF(Table1[[#This Row],[WorkLifeBalance]]=3,"Good","Excellent")))</f>
        <v>Good</v>
      </c>
    </row>
    <row r="1342" spans="1:37" x14ac:dyDescent="0.3">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c r="AJ1342" t="str">
        <f>IF(Table1[[#This Row],[Column1]]&lt;=30,"18-30",IF(Table1[[#This Row],[Column1]]&lt;=50,"31-50","51+"))</f>
        <v>31-50</v>
      </c>
      <c r="AK1342" t="str">
        <f>IF(Table1[[#This Row],[WorkLifeBalance]]=1,"Poor",IF(Table1[[#This Row],[WorkLifeBalance]]=2,"Fair",IF(Table1[[#This Row],[WorkLifeBalance]]=3,"Good","Excellent")))</f>
        <v>Good</v>
      </c>
    </row>
    <row r="1343" spans="1:37" x14ac:dyDescent="0.3">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c r="AJ1343" t="str">
        <f>IF(Table1[[#This Row],[Column1]]&lt;=30,"18-30",IF(Table1[[#This Row],[Column1]]&lt;=50,"31-50","51+"))</f>
        <v>31-50</v>
      </c>
      <c r="AK1343" t="str">
        <f>IF(Table1[[#This Row],[WorkLifeBalance]]=1,"Poor",IF(Table1[[#This Row],[WorkLifeBalance]]=2,"Fair",IF(Table1[[#This Row],[WorkLifeBalance]]=3,"Good","Excellent")))</f>
        <v>Good</v>
      </c>
    </row>
    <row r="1344" spans="1:37" x14ac:dyDescent="0.3">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c r="AJ1344" t="str">
        <f>IF(Table1[[#This Row],[Column1]]&lt;=30,"18-30",IF(Table1[[#This Row],[Column1]]&lt;=50,"31-50","51+"))</f>
        <v>31-50</v>
      </c>
      <c r="AK1344" t="str">
        <f>IF(Table1[[#This Row],[WorkLifeBalance]]=1,"Poor",IF(Table1[[#This Row],[WorkLifeBalance]]=2,"Fair",IF(Table1[[#This Row],[WorkLifeBalance]]=3,"Good","Excellent")))</f>
        <v>Good</v>
      </c>
    </row>
    <row r="1345" spans="1:37" x14ac:dyDescent="0.3">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c r="AJ1345" t="str">
        <f>IF(Table1[[#This Row],[Column1]]&lt;=30,"18-30",IF(Table1[[#This Row],[Column1]]&lt;=50,"31-50","51+"))</f>
        <v>18-30</v>
      </c>
      <c r="AK1345" t="str">
        <f>IF(Table1[[#This Row],[WorkLifeBalance]]=1,"Poor",IF(Table1[[#This Row],[WorkLifeBalance]]=2,"Fair",IF(Table1[[#This Row],[WorkLifeBalance]]=3,"Good","Excellent")))</f>
        <v>Good</v>
      </c>
    </row>
    <row r="1346" spans="1:37" x14ac:dyDescent="0.3">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c r="AJ1346" t="str">
        <f>IF(Table1[[#This Row],[Column1]]&lt;=30,"18-30",IF(Table1[[#This Row],[Column1]]&lt;=50,"31-50","51+"))</f>
        <v>31-50</v>
      </c>
      <c r="AK1346" t="str">
        <f>IF(Table1[[#This Row],[WorkLifeBalance]]=1,"Poor",IF(Table1[[#This Row],[WorkLifeBalance]]=2,"Fair",IF(Table1[[#This Row],[WorkLifeBalance]]=3,"Good","Excellent")))</f>
        <v>Good</v>
      </c>
    </row>
    <row r="1347" spans="1:37" x14ac:dyDescent="0.3">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c r="AJ1347" t="str">
        <f>IF(Table1[[#This Row],[Column1]]&lt;=30,"18-30",IF(Table1[[#This Row],[Column1]]&lt;=50,"31-50","51+"))</f>
        <v>31-50</v>
      </c>
      <c r="AK1347" t="str">
        <f>IF(Table1[[#This Row],[WorkLifeBalance]]=1,"Poor",IF(Table1[[#This Row],[WorkLifeBalance]]=2,"Fair",IF(Table1[[#This Row],[WorkLifeBalance]]=3,"Good","Excellent")))</f>
        <v>Good</v>
      </c>
    </row>
    <row r="1348" spans="1:37" x14ac:dyDescent="0.3">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c r="AJ1348" t="str">
        <f>IF(Table1[[#This Row],[Column1]]&lt;=30,"18-30",IF(Table1[[#This Row],[Column1]]&lt;=50,"31-50","51+"))</f>
        <v>31-50</v>
      </c>
      <c r="AK1348" t="str">
        <f>IF(Table1[[#This Row],[WorkLifeBalance]]=1,"Poor",IF(Table1[[#This Row],[WorkLifeBalance]]=2,"Fair",IF(Table1[[#This Row],[WorkLifeBalance]]=3,"Good","Excellent")))</f>
        <v>Fair</v>
      </c>
    </row>
    <row r="1349" spans="1:37" x14ac:dyDescent="0.3">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c r="AJ1349" t="str">
        <f>IF(Table1[[#This Row],[Column1]]&lt;=30,"18-30",IF(Table1[[#This Row],[Column1]]&lt;=50,"31-50","51+"))</f>
        <v>31-50</v>
      </c>
      <c r="AK1349" t="str">
        <f>IF(Table1[[#This Row],[WorkLifeBalance]]=1,"Poor",IF(Table1[[#This Row],[WorkLifeBalance]]=2,"Fair",IF(Table1[[#This Row],[WorkLifeBalance]]=3,"Good","Excellent")))</f>
        <v>Fair</v>
      </c>
    </row>
    <row r="1350" spans="1:37" x14ac:dyDescent="0.3">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c r="AJ1350" t="str">
        <f>IF(Table1[[#This Row],[Column1]]&lt;=30,"18-30",IF(Table1[[#This Row],[Column1]]&lt;=50,"31-50","51+"))</f>
        <v>31-50</v>
      </c>
      <c r="AK1350" t="str">
        <f>IF(Table1[[#This Row],[WorkLifeBalance]]=1,"Poor",IF(Table1[[#This Row],[WorkLifeBalance]]=2,"Fair",IF(Table1[[#This Row],[WorkLifeBalance]]=3,"Good","Excellent")))</f>
        <v>Good</v>
      </c>
    </row>
    <row r="1351" spans="1:37" x14ac:dyDescent="0.3">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c r="AJ1351" t="str">
        <f>IF(Table1[[#This Row],[Column1]]&lt;=30,"18-30",IF(Table1[[#This Row],[Column1]]&lt;=50,"31-50","51+"))</f>
        <v>18-30</v>
      </c>
      <c r="AK1351" t="str">
        <f>IF(Table1[[#This Row],[WorkLifeBalance]]=1,"Poor",IF(Table1[[#This Row],[WorkLifeBalance]]=2,"Fair",IF(Table1[[#This Row],[WorkLifeBalance]]=3,"Good","Excellent")))</f>
        <v>Fair</v>
      </c>
    </row>
    <row r="1352" spans="1:37" x14ac:dyDescent="0.3">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c r="AJ1352" t="str">
        <f>IF(Table1[[#This Row],[Column1]]&lt;=30,"18-30",IF(Table1[[#This Row],[Column1]]&lt;=50,"31-50","51+"))</f>
        <v>18-30</v>
      </c>
      <c r="AK1352" t="str">
        <f>IF(Table1[[#This Row],[WorkLifeBalance]]=1,"Poor",IF(Table1[[#This Row],[WorkLifeBalance]]=2,"Fair",IF(Table1[[#This Row],[WorkLifeBalance]]=3,"Good","Excellent")))</f>
        <v>Fair</v>
      </c>
    </row>
    <row r="1353" spans="1:37" x14ac:dyDescent="0.3">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c r="AJ1353" t="str">
        <f>IF(Table1[[#This Row],[Column1]]&lt;=30,"18-30",IF(Table1[[#This Row],[Column1]]&lt;=50,"31-50","51+"))</f>
        <v>31-50</v>
      </c>
      <c r="AK1353" t="str">
        <f>IF(Table1[[#This Row],[WorkLifeBalance]]=1,"Poor",IF(Table1[[#This Row],[WorkLifeBalance]]=2,"Fair",IF(Table1[[#This Row],[WorkLifeBalance]]=3,"Good","Excellent")))</f>
        <v>Good</v>
      </c>
    </row>
    <row r="1354" spans="1:37" x14ac:dyDescent="0.3">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c r="AJ1354" t="str">
        <f>IF(Table1[[#This Row],[Column1]]&lt;=30,"18-30",IF(Table1[[#This Row],[Column1]]&lt;=50,"31-50","51+"))</f>
        <v>31-50</v>
      </c>
      <c r="AK1354" t="str">
        <f>IF(Table1[[#This Row],[WorkLifeBalance]]=1,"Poor",IF(Table1[[#This Row],[WorkLifeBalance]]=2,"Fair",IF(Table1[[#This Row],[WorkLifeBalance]]=3,"Good","Excellent")))</f>
        <v>Good</v>
      </c>
    </row>
    <row r="1355" spans="1:37" x14ac:dyDescent="0.3">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c r="AJ1355" t="str">
        <f>IF(Table1[[#This Row],[Column1]]&lt;=30,"18-30",IF(Table1[[#This Row],[Column1]]&lt;=50,"31-50","51+"))</f>
        <v>31-50</v>
      </c>
      <c r="AK1355" t="str">
        <f>IF(Table1[[#This Row],[WorkLifeBalance]]=1,"Poor",IF(Table1[[#This Row],[WorkLifeBalance]]=2,"Fair",IF(Table1[[#This Row],[WorkLifeBalance]]=3,"Good","Excellent")))</f>
        <v>Good</v>
      </c>
    </row>
    <row r="1356" spans="1:37" x14ac:dyDescent="0.3">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c r="AJ1356" t="str">
        <f>IF(Table1[[#This Row],[Column1]]&lt;=30,"18-30",IF(Table1[[#This Row],[Column1]]&lt;=50,"31-50","51+"))</f>
        <v>51+</v>
      </c>
      <c r="AK1356" t="str">
        <f>IF(Table1[[#This Row],[WorkLifeBalance]]=1,"Poor",IF(Table1[[#This Row],[WorkLifeBalance]]=2,"Fair",IF(Table1[[#This Row],[WorkLifeBalance]]=3,"Good","Excellent")))</f>
        <v>Good</v>
      </c>
    </row>
    <row r="1357" spans="1:37" x14ac:dyDescent="0.3">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c r="AJ1357" t="str">
        <f>IF(Table1[[#This Row],[Column1]]&lt;=30,"18-30",IF(Table1[[#This Row],[Column1]]&lt;=50,"31-50","51+"))</f>
        <v>31-50</v>
      </c>
      <c r="AK1357" t="str">
        <f>IF(Table1[[#This Row],[WorkLifeBalance]]=1,"Poor",IF(Table1[[#This Row],[WorkLifeBalance]]=2,"Fair",IF(Table1[[#This Row],[WorkLifeBalance]]=3,"Good","Excellent")))</f>
        <v>Poor</v>
      </c>
    </row>
    <row r="1358" spans="1:37" x14ac:dyDescent="0.3">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c r="AJ1358" t="str">
        <f>IF(Table1[[#This Row],[Column1]]&lt;=30,"18-30",IF(Table1[[#This Row],[Column1]]&lt;=50,"31-50","51+"))</f>
        <v>31-50</v>
      </c>
      <c r="AK1358" t="str">
        <f>IF(Table1[[#This Row],[WorkLifeBalance]]=1,"Poor",IF(Table1[[#This Row],[WorkLifeBalance]]=2,"Fair",IF(Table1[[#This Row],[WorkLifeBalance]]=3,"Good","Excellent")))</f>
        <v>Good</v>
      </c>
    </row>
    <row r="1359" spans="1:37" x14ac:dyDescent="0.3">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c r="AJ1359" t="str">
        <f>IF(Table1[[#This Row],[Column1]]&lt;=30,"18-30",IF(Table1[[#This Row],[Column1]]&lt;=50,"31-50","51+"))</f>
        <v>31-50</v>
      </c>
      <c r="AK1359" t="str">
        <f>IF(Table1[[#This Row],[WorkLifeBalance]]=1,"Poor",IF(Table1[[#This Row],[WorkLifeBalance]]=2,"Fair",IF(Table1[[#This Row],[WorkLifeBalance]]=3,"Good","Excellent")))</f>
        <v>Excellent</v>
      </c>
    </row>
    <row r="1360" spans="1:37" x14ac:dyDescent="0.3">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c r="AJ1360" t="str">
        <f>IF(Table1[[#This Row],[Column1]]&lt;=30,"18-30",IF(Table1[[#This Row],[Column1]]&lt;=50,"31-50","51+"))</f>
        <v>31-50</v>
      </c>
      <c r="AK1360" t="str">
        <f>IF(Table1[[#This Row],[WorkLifeBalance]]=1,"Poor",IF(Table1[[#This Row],[WorkLifeBalance]]=2,"Fair",IF(Table1[[#This Row],[WorkLifeBalance]]=3,"Good","Excellent")))</f>
        <v>Good</v>
      </c>
    </row>
    <row r="1361" spans="1:37" x14ac:dyDescent="0.3">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c r="AJ1361" t="str">
        <f>IF(Table1[[#This Row],[Column1]]&lt;=30,"18-30",IF(Table1[[#This Row],[Column1]]&lt;=50,"31-50","51+"))</f>
        <v>31-50</v>
      </c>
      <c r="AK1361" t="str">
        <f>IF(Table1[[#This Row],[WorkLifeBalance]]=1,"Poor",IF(Table1[[#This Row],[WorkLifeBalance]]=2,"Fair",IF(Table1[[#This Row],[WorkLifeBalance]]=3,"Good","Excellent")))</f>
        <v>Fair</v>
      </c>
    </row>
    <row r="1362" spans="1:37" x14ac:dyDescent="0.3">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c r="AJ1362" t="str">
        <f>IF(Table1[[#This Row],[Column1]]&lt;=30,"18-30",IF(Table1[[#This Row],[Column1]]&lt;=50,"31-50","51+"))</f>
        <v>31-50</v>
      </c>
      <c r="AK1362" t="str">
        <f>IF(Table1[[#This Row],[WorkLifeBalance]]=1,"Poor",IF(Table1[[#This Row],[WorkLifeBalance]]=2,"Fair",IF(Table1[[#This Row],[WorkLifeBalance]]=3,"Good","Excellent")))</f>
        <v>Fair</v>
      </c>
    </row>
    <row r="1363" spans="1:37" x14ac:dyDescent="0.3">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c r="AJ1363" t="str">
        <f>IF(Table1[[#This Row],[Column1]]&lt;=30,"18-30",IF(Table1[[#This Row],[Column1]]&lt;=50,"31-50","51+"))</f>
        <v>18-30</v>
      </c>
      <c r="AK1363" t="str">
        <f>IF(Table1[[#This Row],[WorkLifeBalance]]=1,"Poor",IF(Table1[[#This Row],[WorkLifeBalance]]=2,"Fair",IF(Table1[[#This Row],[WorkLifeBalance]]=3,"Good","Excellent")))</f>
        <v>Good</v>
      </c>
    </row>
    <row r="1364" spans="1:37" x14ac:dyDescent="0.3">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c r="AJ1364" t="str">
        <f>IF(Table1[[#This Row],[Column1]]&lt;=30,"18-30",IF(Table1[[#This Row],[Column1]]&lt;=50,"31-50","51+"))</f>
        <v>31-50</v>
      </c>
      <c r="AK1364" t="str">
        <f>IF(Table1[[#This Row],[WorkLifeBalance]]=1,"Poor",IF(Table1[[#This Row],[WorkLifeBalance]]=2,"Fair",IF(Table1[[#This Row],[WorkLifeBalance]]=3,"Good","Excellent")))</f>
        <v>Good</v>
      </c>
    </row>
    <row r="1365" spans="1:37" x14ac:dyDescent="0.3">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c r="AJ1365" t="str">
        <f>IF(Table1[[#This Row],[Column1]]&lt;=30,"18-30",IF(Table1[[#This Row],[Column1]]&lt;=50,"31-50","51+"))</f>
        <v>31-50</v>
      </c>
      <c r="AK1365" t="str">
        <f>IF(Table1[[#This Row],[WorkLifeBalance]]=1,"Poor",IF(Table1[[#This Row],[WorkLifeBalance]]=2,"Fair",IF(Table1[[#This Row],[WorkLifeBalance]]=3,"Good","Excellent")))</f>
        <v>Fair</v>
      </c>
    </row>
    <row r="1366" spans="1:37" x14ac:dyDescent="0.3">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c r="AJ1366" t="str">
        <f>IF(Table1[[#This Row],[Column1]]&lt;=30,"18-30",IF(Table1[[#This Row],[Column1]]&lt;=50,"31-50","51+"))</f>
        <v>18-30</v>
      </c>
      <c r="AK1366" t="str">
        <f>IF(Table1[[#This Row],[WorkLifeBalance]]=1,"Poor",IF(Table1[[#This Row],[WorkLifeBalance]]=2,"Fair",IF(Table1[[#This Row],[WorkLifeBalance]]=3,"Good","Excellent")))</f>
        <v>Good</v>
      </c>
    </row>
    <row r="1367" spans="1:37" x14ac:dyDescent="0.3">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c r="AJ1367" t="str">
        <f>IF(Table1[[#This Row],[Column1]]&lt;=30,"18-30",IF(Table1[[#This Row],[Column1]]&lt;=50,"31-50","51+"))</f>
        <v>18-30</v>
      </c>
      <c r="AK1367" t="str">
        <f>IF(Table1[[#This Row],[WorkLifeBalance]]=1,"Poor",IF(Table1[[#This Row],[WorkLifeBalance]]=2,"Fair",IF(Table1[[#This Row],[WorkLifeBalance]]=3,"Good","Excellent")))</f>
        <v>Good</v>
      </c>
    </row>
    <row r="1368" spans="1:37" x14ac:dyDescent="0.3">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c r="AJ1368" t="str">
        <f>IF(Table1[[#This Row],[Column1]]&lt;=30,"18-30",IF(Table1[[#This Row],[Column1]]&lt;=50,"31-50","51+"))</f>
        <v>31-50</v>
      </c>
      <c r="AK1368" t="str">
        <f>IF(Table1[[#This Row],[WorkLifeBalance]]=1,"Poor",IF(Table1[[#This Row],[WorkLifeBalance]]=2,"Fair",IF(Table1[[#This Row],[WorkLifeBalance]]=3,"Good","Excellent")))</f>
        <v>Good</v>
      </c>
    </row>
    <row r="1369" spans="1:37" x14ac:dyDescent="0.3">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c r="AJ1369" t="str">
        <f>IF(Table1[[#This Row],[Column1]]&lt;=30,"18-30",IF(Table1[[#This Row],[Column1]]&lt;=50,"31-50","51+"))</f>
        <v>18-30</v>
      </c>
      <c r="AK1369" t="str">
        <f>IF(Table1[[#This Row],[WorkLifeBalance]]=1,"Poor",IF(Table1[[#This Row],[WorkLifeBalance]]=2,"Fair",IF(Table1[[#This Row],[WorkLifeBalance]]=3,"Good","Excellent")))</f>
        <v>Fair</v>
      </c>
    </row>
    <row r="1370" spans="1:37" x14ac:dyDescent="0.3">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c r="AJ1370" t="str">
        <f>IF(Table1[[#This Row],[Column1]]&lt;=30,"18-30",IF(Table1[[#This Row],[Column1]]&lt;=50,"31-50","51+"))</f>
        <v>31-50</v>
      </c>
      <c r="AK1370" t="str">
        <f>IF(Table1[[#This Row],[WorkLifeBalance]]=1,"Poor",IF(Table1[[#This Row],[WorkLifeBalance]]=2,"Fair",IF(Table1[[#This Row],[WorkLifeBalance]]=3,"Good","Excellent")))</f>
        <v>Good</v>
      </c>
    </row>
    <row r="1371" spans="1:37" x14ac:dyDescent="0.3">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c r="AJ1371" t="str">
        <f>IF(Table1[[#This Row],[Column1]]&lt;=30,"18-30",IF(Table1[[#This Row],[Column1]]&lt;=50,"31-50","51+"))</f>
        <v>18-30</v>
      </c>
      <c r="AK1371" t="str">
        <f>IF(Table1[[#This Row],[WorkLifeBalance]]=1,"Poor",IF(Table1[[#This Row],[WorkLifeBalance]]=2,"Fair",IF(Table1[[#This Row],[WorkLifeBalance]]=3,"Good","Excellent")))</f>
        <v>Good</v>
      </c>
    </row>
    <row r="1372" spans="1:37" x14ac:dyDescent="0.3">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c r="AJ1372" t="str">
        <f>IF(Table1[[#This Row],[Column1]]&lt;=30,"18-30",IF(Table1[[#This Row],[Column1]]&lt;=50,"31-50","51+"))</f>
        <v>31-50</v>
      </c>
      <c r="AK1372" t="str">
        <f>IF(Table1[[#This Row],[WorkLifeBalance]]=1,"Poor",IF(Table1[[#This Row],[WorkLifeBalance]]=2,"Fair",IF(Table1[[#This Row],[WorkLifeBalance]]=3,"Good","Excellent")))</f>
        <v>Excellent</v>
      </c>
    </row>
    <row r="1373" spans="1:37" x14ac:dyDescent="0.3">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c r="AJ1373" t="str">
        <f>IF(Table1[[#This Row],[Column1]]&lt;=30,"18-30",IF(Table1[[#This Row],[Column1]]&lt;=50,"31-50","51+"))</f>
        <v>51+</v>
      </c>
      <c r="AK1373" t="str">
        <f>IF(Table1[[#This Row],[WorkLifeBalance]]=1,"Poor",IF(Table1[[#This Row],[WorkLifeBalance]]=2,"Fair",IF(Table1[[#This Row],[WorkLifeBalance]]=3,"Good","Excellent")))</f>
        <v>Good</v>
      </c>
    </row>
    <row r="1374" spans="1:37" x14ac:dyDescent="0.3">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c r="AJ1374" t="str">
        <f>IF(Table1[[#This Row],[Column1]]&lt;=30,"18-30",IF(Table1[[#This Row],[Column1]]&lt;=50,"31-50","51+"))</f>
        <v>31-50</v>
      </c>
      <c r="AK1374" t="str">
        <f>IF(Table1[[#This Row],[WorkLifeBalance]]=1,"Poor",IF(Table1[[#This Row],[WorkLifeBalance]]=2,"Fair",IF(Table1[[#This Row],[WorkLifeBalance]]=3,"Good","Excellent")))</f>
        <v>Good</v>
      </c>
    </row>
    <row r="1375" spans="1:37" x14ac:dyDescent="0.3">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c r="AJ1375" t="str">
        <f>IF(Table1[[#This Row],[Column1]]&lt;=30,"18-30",IF(Table1[[#This Row],[Column1]]&lt;=50,"31-50","51+"))</f>
        <v>31-50</v>
      </c>
      <c r="AK1375" t="str">
        <f>IF(Table1[[#This Row],[WorkLifeBalance]]=1,"Poor",IF(Table1[[#This Row],[WorkLifeBalance]]=2,"Fair",IF(Table1[[#This Row],[WorkLifeBalance]]=3,"Good","Excellent")))</f>
        <v>Good</v>
      </c>
    </row>
    <row r="1376" spans="1:37" x14ac:dyDescent="0.3">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c r="AJ1376" t="str">
        <f>IF(Table1[[#This Row],[Column1]]&lt;=30,"18-30",IF(Table1[[#This Row],[Column1]]&lt;=50,"31-50","51+"))</f>
        <v>51+</v>
      </c>
      <c r="AK1376" t="str">
        <f>IF(Table1[[#This Row],[WorkLifeBalance]]=1,"Poor",IF(Table1[[#This Row],[WorkLifeBalance]]=2,"Fair",IF(Table1[[#This Row],[WorkLifeBalance]]=3,"Good","Excellent")))</f>
        <v>Fair</v>
      </c>
    </row>
    <row r="1377" spans="1:37" x14ac:dyDescent="0.3">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c r="AJ1377" t="str">
        <f>IF(Table1[[#This Row],[Column1]]&lt;=30,"18-30",IF(Table1[[#This Row],[Column1]]&lt;=50,"31-50","51+"))</f>
        <v>31-50</v>
      </c>
      <c r="AK1377" t="str">
        <f>IF(Table1[[#This Row],[WorkLifeBalance]]=1,"Poor",IF(Table1[[#This Row],[WorkLifeBalance]]=2,"Fair",IF(Table1[[#This Row],[WorkLifeBalance]]=3,"Good","Excellent")))</f>
        <v>Good</v>
      </c>
    </row>
    <row r="1378" spans="1:37" x14ac:dyDescent="0.3">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c r="AJ1378" t="str">
        <f>IF(Table1[[#This Row],[Column1]]&lt;=30,"18-30",IF(Table1[[#This Row],[Column1]]&lt;=50,"31-50","51+"))</f>
        <v>31-50</v>
      </c>
      <c r="AK1378" t="str">
        <f>IF(Table1[[#This Row],[WorkLifeBalance]]=1,"Poor",IF(Table1[[#This Row],[WorkLifeBalance]]=2,"Fair",IF(Table1[[#This Row],[WorkLifeBalance]]=3,"Good","Excellent")))</f>
        <v>Excellent</v>
      </c>
    </row>
    <row r="1379" spans="1:37" x14ac:dyDescent="0.3">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c r="AJ1379" t="str">
        <f>IF(Table1[[#This Row],[Column1]]&lt;=30,"18-30",IF(Table1[[#This Row],[Column1]]&lt;=50,"31-50","51+"))</f>
        <v>31-50</v>
      </c>
      <c r="AK1379" t="str">
        <f>IF(Table1[[#This Row],[WorkLifeBalance]]=1,"Poor",IF(Table1[[#This Row],[WorkLifeBalance]]=2,"Fair",IF(Table1[[#This Row],[WorkLifeBalance]]=3,"Good","Excellent")))</f>
        <v>Good</v>
      </c>
    </row>
    <row r="1380" spans="1:37" x14ac:dyDescent="0.3">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c r="AJ1380" t="str">
        <f>IF(Table1[[#This Row],[Column1]]&lt;=30,"18-30",IF(Table1[[#This Row],[Column1]]&lt;=50,"31-50","51+"))</f>
        <v>31-50</v>
      </c>
      <c r="AK1380" t="str">
        <f>IF(Table1[[#This Row],[WorkLifeBalance]]=1,"Poor",IF(Table1[[#This Row],[WorkLifeBalance]]=2,"Fair",IF(Table1[[#This Row],[WorkLifeBalance]]=3,"Good","Excellent")))</f>
        <v>Good</v>
      </c>
    </row>
    <row r="1381" spans="1:37" x14ac:dyDescent="0.3">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c r="AJ1381" t="str">
        <f>IF(Table1[[#This Row],[Column1]]&lt;=30,"18-30",IF(Table1[[#This Row],[Column1]]&lt;=50,"31-50","51+"))</f>
        <v>18-30</v>
      </c>
      <c r="AK1381" t="str">
        <f>IF(Table1[[#This Row],[WorkLifeBalance]]=1,"Poor",IF(Table1[[#This Row],[WorkLifeBalance]]=2,"Fair",IF(Table1[[#This Row],[WorkLifeBalance]]=3,"Good","Excellent")))</f>
        <v>Good</v>
      </c>
    </row>
    <row r="1382" spans="1:37" x14ac:dyDescent="0.3">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c r="AJ1382" t="str">
        <f>IF(Table1[[#This Row],[Column1]]&lt;=30,"18-30",IF(Table1[[#This Row],[Column1]]&lt;=50,"31-50","51+"))</f>
        <v>31-50</v>
      </c>
      <c r="AK1382" t="str">
        <f>IF(Table1[[#This Row],[WorkLifeBalance]]=1,"Poor",IF(Table1[[#This Row],[WorkLifeBalance]]=2,"Fair",IF(Table1[[#This Row],[WorkLifeBalance]]=3,"Good","Excellent")))</f>
        <v>Poor</v>
      </c>
    </row>
    <row r="1383" spans="1:37" x14ac:dyDescent="0.3">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c r="AJ1383" t="str">
        <f>IF(Table1[[#This Row],[Column1]]&lt;=30,"18-30",IF(Table1[[#This Row],[Column1]]&lt;=50,"31-50","51+"))</f>
        <v>18-30</v>
      </c>
      <c r="AK1383" t="str">
        <f>IF(Table1[[#This Row],[WorkLifeBalance]]=1,"Poor",IF(Table1[[#This Row],[WorkLifeBalance]]=2,"Fair",IF(Table1[[#This Row],[WorkLifeBalance]]=3,"Good","Excellent")))</f>
        <v>Fair</v>
      </c>
    </row>
    <row r="1384" spans="1:37" x14ac:dyDescent="0.3">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c r="AJ1384" t="str">
        <f>IF(Table1[[#This Row],[Column1]]&lt;=30,"18-30",IF(Table1[[#This Row],[Column1]]&lt;=50,"31-50","51+"))</f>
        <v>31-50</v>
      </c>
      <c r="AK1384" t="str">
        <f>IF(Table1[[#This Row],[WorkLifeBalance]]=1,"Poor",IF(Table1[[#This Row],[WorkLifeBalance]]=2,"Fair",IF(Table1[[#This Row],[WorkLifeBalance]]=3,"Good","Excellent")))</f>
        <v>Excellent</v>
      </c>
    </row>
    <row r="1385" spans="1:37" x14ac:dyDescent="0.3">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c r="AJ1385" t="str">
        <f>IF(Table1[[#This Row],[Column1]]&lt;=30,"18-30",IF(Table1[[#This Row],[Column1]]&lt;=50,"31-50","51+"))</f>
        <v>31-50</v>
      </c>
      <c r="AK1385" t="str">
        <f>IF(Table1[[#This Row],[WorkLifeBalance]]=1,"Poor",IF(Table1[[#This Row],[WorkLifeBalance]]=2,"Fair",IF(Table1[[#This Row],[WorkLifeBalance]]=3,"Good","Excellent")))</f>
        <v>Good</v>
      </c>
    </row>
    <row r="1386" spans="1:37" x14ac:dyDescent="0.3">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c r="AJ1386" t="str">
        <f>IF(Table1[[#This Row],[Column1]]&lt;=30,"18-30",IF(Table1[[#This Row],[Column1]]&lt;=50,"31-50","51+"))</f>
        <v>31-50</v>
      </c>
      <c r="AK1386" t="str">
        <f>IF(Table1[[#This Row],[WorkLifeBalance]]=1,"Poor",IF(Table1[[#This Row],[WorkLifeBalance]]=2,"Fair",IF(Table1[[#This Row],[WorkLifeBalance]]=3,"Good","Excellent")))</f>
        <v>Fair</v>
      </c>
    </row>
    <row r="1387" spans="1:37" x14ac:dyDescent="0.3">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c r="AJ1387" t="str">
        <f>IF(Table1[[#This Row],[Column1]]&lt;=30,"18-30",IF(Table1[[#This Row],[Column1]]&lt;=50,"31-50","51+"))</f>
        <v>31-50</v>
      </c>
      <c r="AK1387" t="str">
        <f>IF(Table1[[#This Row],[WorkLifeBalance]]=1,"Poor",IF(Table1[[#This Row],[WorkLifeBalance]]=2,"Fair",IF(Table1[[#This Row],[WorkLifeBalance]]=3,"Good","Excellent")))</f>
        <v>Fair</v>
      </c>
    </row>
    <row r="1388" spans="1:37" x14ac:dyDescent="0.3">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c r="AJ1388" t="str">
        <f>IF(Table1[[#This Row],[Column1]]&lt;=30,"18-30",IF(Table1[[#This Row],[Column1]]&lt;=50,"31-50","51+"))</f>
        <v>18-30</v>
      </c>
      <c r="AK1388" t="str">
        <f>IF(Table1[[#This Row],[WorkLifeBalance]]=1,"Poor",IF(Table1[[#This Row],[WorkLifeBalance]]=2,"Fair",IF(Table1[[#This Row],[WorkLifeBalance]]=3,"Good","Excellent")))</f>
        <v>Fair</v>
      </c>
    </row>
    <row r="1389" spans="1:37" x14ac:dyDescent="0.3">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c r="AJ1389" t="str">
        <f>IF(Table1[[#This Row],[Column1]]&lt;=30,"18-30",IF(Table1[[#This Row],[Column1]]&lt;=50,"31-50","51+"))</f>
        <v>18-30</v>
      </c>
      <c r="AK1389" t="str">
        <f>IF(Table1[[#This Row],[WorkLifeBalance]]=1,"Poor",IF(Table1[[#This Row],[WorkLifeBalance]]=2,"Fair",IF(Table1[[#This Row],[WorkLifeBalance]]=3,"Good","Excellent")))</f>
        <v>Fair</v>
      </c>
    </row>
    <row r="1390" spans="1:37" x14ac:dyDescent="0.3">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c r="AJ1390" t="str">
        <f>IF(Table1[[#This Row],[Column1]]&lt;=30,"18-30",IF(Table1[[#This Row],[Column1]]&lt;=50,"31-50","51+"))</f>
        <v>31-50</v>
      </c>
      <c r="AK1390" t="str">
        <f>IF(Table1[[#This Row],[WorkLifeBalance]]=1,"Poor",IF(Table1[[#This Row],[WorkLifeBalance]]=2,"Fair",IF(Table1[[#This Row],[WorkLifeBalance]]=3,"Good","Excellent")))</f>
        <v>Good</v>
      </c>
    </row>
    <row r="1391" spans="1:37" x14ac:dyDescent="0.3">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c r="AJ1391" t="str">
        <f>IF(Table1[[#This Row],[Column1]]&lt;=30,"18-30",IF(Table1[[#This Row],[Column1]]&lt;=50,"31-50","51+"))</f>
        <v>31-50</v>
      </c>
      <c r="AK1391" t="str">
        <f>IF(Table1[[#This Row],[WorkLifeBalance]]=1,"Poor",IF(Table1[[#This Row],[WorkLifeBalance]]=2,"Fair",IF(Table1[[#This Row],[WorkLifeBalance]]=3,"Good","Excellent")))</f>
        <v>Good</v>
      </c>
    </row>
    <row r="1392" spans="1:37" x14ac:dyDescent="0.3">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c r="AJ1392" t="str">
        <f>IF(Table1[[#This Row],[Column1]]&lt;=30,"18-30",IF(Table1[[#This Row],[Column1]]&lt;=50,"31-50","51+"))</f>
        <v>18-30</v>
      </c>
      <c r="AK1392" t="str">
        <f>IF(Table1[[#This Row],[WorkLifeBalance]]=1,"Poor",IF(Table1[[#This Row],[WorkLifeBalance]]=2,"Fair",IF(Table1[[#This Row],[WorkLifeBalance]]=3,"Good","Excellent")))</f>
        <v>Fair</v>
      </c>
    </row>
    <row r="1393" spans="1:37" x14ac:dyDescent="0.3">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c r="AJ1393" t="str">
        <f>IF(Table1[[#This Row],[Column1]]&lt;=30,"18-30",IF(Table1[[#This Row],[Column1]]&lt;=50,"31-50","51+"))</f>
        <v>31-50</v>
      </c>
      <c r="AK1393" t="str">
        <f>IF(Table1[[#This Row],[WorkLifeBalance]]=1,"Poor",IF(Table1[[#This Row],[WorkLifeBalance]]=2,"Fair",IF(Table1[[#This Row],[WorkLifeBalance]]=3,"Good","Excellent")))</f>
        <v>Fair</v>
      </c>
    </row>
    <row r="1394" spans="1:37" x14ac:dyDescent="0.3">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c r="AJ1394" t="str">
        <f>IF(Table1[[#This Row],[Column1]]&lt;=30,"18-30",IF(Table1[[#This Row],[Column1]]&lt;=50,"31-50","51+"))</f>
        <v>31-50</v>
      </c>
      <c r="AK1394" t="str">
        <f>IF(Table1[[#This Row],[WorkLifeBalance]]=1,"Poor",IF(Table1[[#This Row],[WorkLifeBalance]]=2,"Fair",IF(Table1[[#This Row],[WorkLifeBalance]]=3,"Good","Excellent")))</f>
        <v>Good</v>
      </c>
    </row>
    <row r="1395" spans="1:37" x14ac:dyDescent="0.3">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c r="AJ1395" t="str">
        <f>IF(Table1[[#This Row],[Column1]]&lt;=30,"18-30",IF(Table1[[#This Row],[Column1]]&lt;=50,"31-50","51+"))</f>
        <v>18-30</v>
      </c>
      <c r="AK1395" t="str">
        <f>IF(Table1[[#This Row],[WorkLifeBalance]]=1,"Poor",IF(Table1[[#This Row],[WorkLifeBalance]]=2,"Fair",IF(Table1[[#This Row],[WorkLifeBalance]]=3,"Good","Excellent")))</f>
        <v>Good</v>
      </c>
    </row>
    <row r="1396" spans="1:37" x14ac:dyDescent="0.3">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c r="AJ1396" t="str">
        <f>IF(Table1[[#This Row],[Column1]]&lt;=30,"18-30",IF(Table1[[#This Row],[Column1]]&lt;=50,"31-50","51+"))</f>
        <v>31-50</v>
      </c>
      <c r="AK1396" t="str">
        <f>IF(Table1[[#This Row],[WorkLifeBalance]]=1,"Poor",IF(Table1[[#This Row],[WorkLifeBalance]]=2,"Fair",IF(Table1[[#This Row],[WorkLifeBalance]]=3,"Good","Excellent")))</f>
        <v>Good</v>
      </c>
    </row>
    <row r="1397" spans="1:37" x14ac:dyDescent="0.3">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c r="AJ1397" t="str">
        <f>IF(Table1[[#This Row],[Column1]]&lt;=30,"18-30",IF(Table1[[#This Row],[Column1]]&lt;=50,"31-50","51+"))</f>
        <v>31-50</v>
      </c>
      <c r="AK1397" t="str">
        <f>IF(Table1[[#This Row],[WorkLifeBalance]]=1,"Poor",IF(Table1[[#This Row],[WorkLifeBalance]]=2,"Fair",IF(Table1[[#This Row],[WorkLifeBalance]]=3,"Good","Excellent")))</f>
        <v>Good</v>
      </c>
    </row>
    <row r="1398" spans="1:37" x14ac:dyDescent="0.3">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c r="AJ1398" t="str">
        <f>IF(Table1[[#This Row],[Column1]]&lt;=30,"18-30",IF(Table1[[#This Row],[Column1]]&lt;=50,"31-50","51+"))</f>
        <v>51+</v>
      </c>
      <c r="AK1398" t="str">
        <f>IF(Table1[[#This Row],[WorkLifeBalance]]=1,"Poor",IF(Table1[[#This Row],[WorkLifeBalance]]=2,"Fair",IF(Table1[[#This Row],[WorkLifeBalance]]=3,"Good","Excellent")))</f>
        <v>Fair</v>
      </c>
    </row>
    <row r="1399" spans="1:37" x14ac:dyDescent="0.3">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c r="AJ1399" t="str">
        <f>IF(Table1[[#This Row],[Column1]]&lt;=30,"18-30",IF(Table1[[#This Row],[Column1]]&lt;=50,"31-50","51+"))</f>
        <v>51+</v>
      </c>
      <c r="AK1399" t="str">
        <f>IF(Table1[[#This Row],[WorkLifeBalance]]=1,"Poor",IF(Table1[[#This Row],[WorkLifeBalance]]=2,"Fair",IF(Table1[[#This Row],[WorkLifeBalance]]=3,"Good","Excellent")))</f>
        <v>Fair</v>
      </c>
    </row>
    <row r="1400" spans="1:37" x14ac:dyDescent="0.3">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c r="AJ1400" t="str">
        <f>IF(Table1[[#This Row],[Column1]]&lt;=30,"18-30",IF(Table1[[#This Row],[Column1]]&lt;=50,"31-50","51+"))</f>
        <v>31-50</v>
      </c>
      <c r="AK1400" t="str">
        <f>IF(Table1[[#This Row],[WorkLifeBalance]]=1,"Poor",IF(Table1[[#This Row],[WorkLifeBalance]]=2,"Fair",IF(Table1[[#This Row],[WorkLifeBalance]]=3,"Good","Excellent")))</f>
        <v>Good</v>
      </c>
    </row>
    <row r="1401" spans="1:37" x14ac:dyDescent="0.3">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c r="AJ1401" t="str">
        <f>IF(Table1[[#This Row],[Column1]]&lt;=30,"18-30",IF(Table1[[#This Row],[Column1]]&lt;=50,"31-50","51+"))</f>
        <v>31-50</v>
      </c>
      <c r="AK1401" t="str">
        <f>IF(Table1[[#This Row],[WorkLifeBalance]]=1,"Poor",IF(Table1[[#This Row],[WorkLifeBalance]]=2,"Fair",IF(Table1[[#This Row],[WorkLifeBalance]]=3,"Good","Excellent")))</f>
        <v>Good</v>
      </c>
    </row>
    <row r="1402" spans="1:37" x14ac:dyDescent="0.3">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c r="AJ1402" t="str">
        <f>IF(Table1[[#This Row],[Column1]]&lt;=30,"18-30",IF(Table1[[#This Row],[Column1]]&lt;=50,"31-50","51+"))</f>
        <v>31-50</v>
      </c>
      <c r="AK1402" t="str">
        <f>IF(Table1[[#This Row],[WorkLifeBalance]]=1,"Poor",IF(Table1[[#This Row],[WorkLifeBalance]]=2,"Fair",IF(Table1[[#This Row],[WorkLifeBalance]]=3,"Good","Excellent")))</f>
        <v>Good</v>
      </c>
    </row>
    <row r="1403" spans="1:37" x14ac:dyDescent="0.3">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c r="AJ1403" t="str">
        <f>IF(Table1[[#This Row],[Column1]]&lt;=30,"18-30",IF(Table1[[#This Row],[Column1]]&lt;=50,"31-50","51+"))</f>
        <v>51+</v>
      </c>
      <c r="AK1403" t="str">
        <f>IF(Table1[[#This Row],[WorkLifeBalance]]=1,"Poor",IF(Table1[[#This Row],[WorkLifeBalance]]=2,"Fair",IF(Table1[[#This Row],[WorkLifeBalance]]=3,"Good","Excellent")))</f>
        <v>Good</v>
      </c>
    </row>
    <row r="1404" spans="1:37" x14ac:dyDescent="0.3">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c r="AJ1404" t="str">
        <f>IF(Table1[[#This Row],[Column1]]&lt;=30,"18-30",IF(Table1[[#This Row],[Column1]]&lt;=50,"31-50","51+"))</f>
        <v>31-50</v>
      </c>
      <c r="AK1404" t="str">
        <f>IF(Table1[[#This Row],[WorkLifeBalance]]=1,"Poor",IF(Table1[[#This Row],[WorkLifeBalance]]=2,"Fair",IF(Table1[[#This Row],[WorkLifeBalance]]=3,"Good","Excellent")))</f>
        <v>Good</v>
      </c>
    </row>
    <row r="1405" spans="1:37" x14ac:dyDescent="0.3">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c r="AJ1405" t="str">
        <f>IF(Table1[[#This Row],[Column1]]&lt;=30,"18-30",IF(Table1[[#This Row],[Column1]]&lt;=50,"31-50","51+"))</f>
        <v>31-50</v>
      </c>
      <c r="AK1405" t="str">
        <f>IF(Table1[[#This Row],[WorkLifeBalance]]=1,"Poor",IF(Table1[[#This Row],[WorkLifeBalance]]=2,"Fair",IF(Table1[[#This Row],[WorkLifeBalance]]=3,"Good","Excellent")))</f>
        <v>Good</v>
      </c>
    </row>
    <row r="1406" spans="1:37" x14ac:dyDescent="0.3">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c r="AJ1406" t="str">
        <f>IF(Table1[[#This Row],[Column1]]&lt;=30,"18-30",IF(Table1[[#This Row],[Column1]]&lt;=50,"31-50","51+"))</f>
        <v>31-50</v>
      </c>
      <c r="AK1406" t="str">
        <f>IF(Table1[[#This Row],[WorkLifeBalance]]=1,"Poor",IF(Table1[[#This Row],[WorkLifeBalance]]=2,"Fair",IF(Table1[[#This Row],[WorkLifeBalance]]=3,"Good","Excellent")))</f>
        <v>Good</v>
      </c>
    </row>
    <row r="1407" spans="1:37" x14ac:dyDescent="0.3">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c r="AJ1407" t="str">
        <f>IF(Table1[[#This Row],[Column1]]&lt;=30,"18-30",IF(Table1[[#This Row],[Column1]]&lt;=50,"31-50","51+"))</f>
        <v>31-50</v>
      </c>
      <c r="AK1407" t="str">
        <f>IF(Table1[[#This Row],[WorkLifeBalance]]=1,"Poor",IF(Table1[[#This Row],[WorkLifeBalance]]=2,"Fair",IF(Table1[[#This Row],[WorkLifeBalance]]=3,"Good","Excellent")))</f>
        <v>Excellent</v>
      </c>
    </row>
    <row r="1408" spans="1:37" x14ac:dyDescent="0.3">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c r="AJ1408" t="str">
        <f>IF(Table1[[#This Row],[Column1]]&lt;=30,"18-30",IF(Table1[[#This Row],[Column1]]&lt;=50,"31-50","51+"))</f>
        <v>51+</v>
      </c>
      <c r="AK1408" t="str">
        <f>IF(Table1[[#This Row],[WorkLifeBalance]]=1,"Poor",IF(Table1[[#This Row],[WorkLifeBalance]]=2,"Fair",IF(Table1[[#This Row],[WorkLifeBalance]]=3,"Good","Excellent")))</f>
        <v>Good</v>
      </c>
    </row>
    <row r="1409" spans="1:37" x14ac:dyDescent="0.3">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c r="AJ1409" t="str">
        <f>IF(Table1[[#This Row],[Column1]]&lt;=30,"18-30",IF(Table1[[#This Row],[Column1]]&lt;=50,"31-50","51+"))</f>
        <v>18-30</v>
      </c>
      <c r="AK1409" t="str">
        <f>IF(Table1[[#This Row],[WorkLifeBalance]]=1,"Poor",IF(Table1[[#This Row],[WorkLifeBalance]]=2,"Fair",IF(Table1[[#This Row],[WorkLifeBalance]]=3,"Good","Excellent")))</f>
        <v>Fair</v>
      </c>
    </row>
    <row r="1410" spans="1:37" x14ac:dyDescent="0.3">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c r="AJ1410" t="str">
        <f>IF(Table1[[#This Row],[Column1]]&lt;=30,"18-30",IF(Table1[[#This Row],[Column1]]&lt;=50,"31-50","51+"))</f>
        <v>18-30</v>
      </c>
      <c r="AK1410" t="str">
        <f>IF(Table1[[#This Row],[WorkLifeBalance]]=1,"Poor",IF(Table1[[#This Row],[WorkLifeBalance]]=2,"Fair",IF(Table1[[#This Row],[WorkLifeBalance]]=3,"Good","Excellent")))</f>
        <v>Excellent</v>
      </c>
    </row>
    <row r="1411" spans="1:37" x14ac:dyDescent="0.3">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c r="AJ1411" t="str">
        <f>IF(Table1[[#This Row],[Column1]]&lt;=30,"18-30",IF(Table1[[#This Row],[Column1]]&lt;=50,"31-50","51+"))</f>
        <v>31-50</v>
      </c>
      <c r="AK1411" t="str">
        <f>IF(Table1[[#This Row],[WorkLifeBalance]]=1,"Poor",IF(Table1[[#This Row],[WorkLifeBalance]]=2,"Fair",IF(Table1[[#This Row],[WorkLifeBalance]]=3,"Good","Excellent")))</f>
        <v>Excellent</v>
      </c>
    </row>
    <row r="1412" spans="1:37" x14ac:dyDescent="0.3">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c r="AJ1412" t="str">
        <f>IF(Table1[[#This Row],[Column1]]&lt;=30,"18-30",IF(Table1[[#This Row],[Column1]]&lt;=50,"31-50","51+"))</f>
        <v>31-50</v>
      </c>
      <c r="AK1412" t="str">
        <f>IF(Table1[[#This Row],[WorkLifeBalance]]=1,"Poor",IF(Table1[[#This Row],[WorkLifeBalance]]=2,"Fair",IF(Table1[[#This Row],[WorkLifeBalance]]=3,"Good","Excellent")))</f>
        <v>Good</v>
      </c>
    </row>
    <row r="1413" spans="1:37" x14ac:dyDescent="0.3">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c r="AJ1413" t="str">
        <f>IF(Table1[[#This Row],[Column1]]&lt;=30,"18-30",IF(Table1[[#This Row],[Column1]]&lt;=50,"31-50","51+"))</f>
        <v>18-30</v>
      </c>
      <c r="AK1413" t="str">
        <f>IF(Table1[[#This Row],[WorkLifeBalance]]=1,"Poor",IF(Table1[[#This Row],[WorkLifeBalance]]=2,"Fair",IF(Table1[[#This Row],[WorkLifeBalance]]=3,"Good","Excellent")))</f>
        <v>Good</v>
      </c>
    </row>
    <row r="1414" spans="1:37" x14ac:dyDescent="0.3">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c r="AJ1414" t="str">
        <f>IF(Table1[[#This Row],[Column1]]&lt;=30,"18-30",IF(Table1[[#This Row],[Column1]]&lt;=50,"31-50","51+"))</f>
        <v>18-30</v>
      </c>
      <c r="AK1414" t="str">
        <f>IF(Table1[[#This Row],[WorkLifeBalance]]=1,"Poor",IF(Table1[[#This Row],[WorkLifeBalance]]=2,"Fair",IF(Table1[[#This Row],[WorkLifeBalance]]=3,"Good","Excellent")))</f>
        <v>Fair</v>
      </c>
    </row>
    <row r="1415" spans="1:37" x14ac:dyDescent="0.3">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c r="AJ1415" t="str">
        <f>IF(Table1[[#This Row],[Column1]]&lt;=30,"18-30",IF(Table1[[#This Row],[Column1]]&lt;=50,"31-50","51+"))</f>
        <v>18-30</v>
      </c>
      <c r="AK1415" t="str">
        <f>IF(Table1[[#This Row],[WorkLifeBalance]]=1,"Poor",IF(Table1[[#This Row],[WorkLifeBalance]]=2,"Fair",IF(Table1[[#This Row],[WorkLifeBalance]]=3,"Good","Excellent")))</f>
        <v>Fair</v>
      </c>
    </row>
    <row r="1416" spans="1:37" x14ac:dyDescent="0.3">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c r="AJ1416" t="str">
        <f>IF(Table1[[#This Row],[Column1]]&lt;=30,"18-30",IF(Table1[[#This Row],[Column1]]&lt;=50,"31-50","51+"))</f>
        <v>31-50</v>
      </c>
      <c r="AK1416" t="str">
        <f>IF(Table1[[#This Row],[WorkLifeBalance]]=1,"Poor",IF(Table1[[#This Row],[WorkLifeBalance]]=2,"Fair",IF(Table1[[#This Row],[WorkLifeBalance]]=3,"Good","Excellent")))</f>
        <v>Good</v>
      </c>
    </row>
    <row r="1417" spans="1:37" x14ac:dyDescent="0.3">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c r="AJ1417" t="str">
        <f>IF(Table1[[#This Row],[Column1]]&lt;=30,"18-30",IF(Table1[[#This Row],[Column1]]&lt;=50,"31-50","51+"))</f>
        <v>31-50</v>
      </c>
      <c r="AK1417" t="str">
        <f>IF(Table1[[#This Row],[WorkLifeBalance]]=1,"Poor",IF(Table1[[#This Row],[WorkLifeBalance]]=2,"Fair",IF(Table1[[#This Row],[WorkLifeBalance]]=3,"Good","Excellent")))</f>
        <v>Fair</v>
      </c>
    </row>
    <row r="1418" spans="1:37" x14ac:dyDescent="0.3">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c r="AJ1418" t="str">
        <f>IF(Table1[[#This Row],[Column1]]&lt;=30,"18-30",IF(Table1[[#This Row],[Column1]]&lt;=50,"31-50","51+"))</f>
        <v>31-50</v>
      </c>
      <c r="AK1418" t="str">
        <f>IF(Table1[[#This Row],[WorkLifeBalance]]=1,"Poor",IF(Table1[[#This Row],[WorkLifeBalance]]=2,"Fair",IF(Table1[[#This Row],[WorkLifeBalance]]=3,"Good","Excellent")))</f>
        <v>Good</v>
      </c>
    </row>
    <row r="1419" spans="1:37" x14ac:dyDescent="0.3">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c r="AJ1419" t="str">
        <f>IF(Table1[[#This Row],[Column1]]&lt;=30,"18-30",IF(Table1[[#This Row],[Column1]]&lt;=50,"31-50","51+"))</f>
        <v>31-50</v>
      </c>
      <c r="AK1419" t="str">
        <f>IF(Table1[[#This Row],[WorkLifeBalance]]=1,"Poor",IF(Table1[[#This Row],[WorkLifeBalance]]=2,"Fair",IF(Table1[[#This Row],[WorkLifeBalance]]=3,"Good","Excellent")))</f>
        <v>Good</v>
      </c>
    </row>
    <row r="1420" spans="1:37" x14ac:dyDescent="0.3">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c r="AJ1420" t="str">
        <f>IF(Table1[[#This Row],[Column1]]&lt;=30,"18-30",IF(Table1[[#This Row],[Column1]]&lt;=50,"31-50","51+"))</f>
        <v>31-50</v>
      </c>
      <c r="AK1420" t="str">
        <f>IF(Table1[[#This Row],[WorkLifeBalance]]=1,"Poor",IF(Table1[[#This Row],[WorkLifeBalance]]=2,"Fair",IF(Table1[[#This Row],[WorkLifeBalance]]=3,"Good","Excellent")))</f>
        <v>Good</v>
      </c>
    </row>
    <row r="1421" spans="1:37" x14ac:dyDescent="0.3">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c r="AJ1421" t="str">
        <f>IF(Table1[[#This Row],[Column1]]&lt;=30,"18-30",IF(Table1[[#This Row],[Column1]]&lt;=50,"31-50","51+"))</f>
        <v>31-50</v>
      </c>
      <c r="AK1421" t="str">
        <f>IF(Table1[[#This Row],[WorkLifeBalance]]=1,"Poor",IF(Table1[[#This Row],[WorkLifeBalance]]=2,"Fair",IF(Table1[[#This Row],[WorkLifeBalance]]=3,"Good","Excellent")))</f>
        <v>Fair</v>
      </c>
    </row>
    <row r="1422" spans="1:37" x14ac:dyDescent="0.3">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c r="AJ1422" t="str">
        <f>IF(Table1[[#This Row],[Column1]]&lt;=30,"18-30",IF(Table1[[#This Row],[Column1]]&lt;=50,"31-50","51+"))</f>
        <v>31-50</v>
      </c>
      <c r="AK1422" t="str">
        <f>IF(Table1[[#This Row],[WorkLifeBalance]]=1,"Poor",IF(Table1[[#This Row],[WorkLifeBalance]]=2,"Fair",IF(Table1[[#This Row],[WorkLifeBalance]]=3,"Good","Excellent")))</f>
        <v>Good</v>
      </c>
    </row>
    <row r="1423" spans="1:37" x14ac:dyDescent="0.3">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c r="AJ1423" t="str">
        <f>IF(Table1[[#This Row],[Column1]]&lt;=30,"18-30",IF(Table1[[#This Row],[Column1]]&lt;=50,"31-50","51+"))</f>
        <v>31-50</v>
      </c>
      <c r="AK1423" t="str">
        <f>IF(Table1[[#This Row],[WorkLifeBalance]]=1,"Poor",IF(Table1[[#This Row],[WorkLifeBalance]]=2,"Fair",IF(Table1[[#This Row],[WorkLifeBalance]]=3,"Good","Excellent")))</f>
        <v>Poor</v>
      </c>
    </row>
    <row r="1424" spans="1:37" x14ac:dyDescent="0.3">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c r="AJ1424" t="str">
        <f>IF(Table1[[#This Row],[Column1]]&lt;=30,"18-30",IF(Table1[[#This Row],[Column1]]&lt;=50,"31-50","51+"))</f>
        <v>31-50</v>
      </c>
      <c r="AK1424" t="str">
        <f>IF(Table1[[#This Row],[WorkLifeBalance]]=1,"Poor",IF(Table1[[#This Row],[WorkLifeBalance]]=2,"Fair",IF(Table1[[#This Row],[WorkLifeBalance]]=3,"Good","Excellent")))</f>
        <v>Good</v>
      </c>
    </row>
    <row r="1425" spans="1:37" x14ac:dyDescent="0.3">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c r="AJ1425" t="str">
        <f>IF(Table1[[#This Row],[Column1]]&lt;=30,"18-30",IF(Table1[[#This Row],[Column1]]&lt;=50,"31-50","51+"))</f>
        <v>18-30</v>
      </c>
      <c r="AK1425" t="str">
        <f>IF(Table1[[#This Row],[WorkLifeBalance]]=1,"Poor",IF(Table1[[#This Row],[WorkLifeBalance]]=2,"Fair",IF(Table1[[#This Row],[WorkLifeBalance]]=3,"Good","Excellent")))</f>
        <v>Excellent</v>
      </c>
    </row>
    <row r="1426" spans="1:37" x14ac:dyDescent="0.3">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c r="AJ1426" t="str">
        <f>IF(Table1[[#This Row],[Column1]]&lt;=30,"18-30",IF(Table1[[#This Row],[Column1]]&lt;=50,"31-50","51+"))</f>
        <v>31-50</v>
      </c>
      <c r="AK1426" t="str">
        <f>IF(Table1[[#This Row],[WorkLifeBalance]]=1,"Poor",IF(Table1[[#This Row],[WorkLifeBalance]]=2,"Fair",IF(Table1[[#This Row],[WorkLifeBalance]]=3,"Good","Excellent")))</f>
        <v>Good</v>
      </c>
    </row>
    <row r="1427" spans="1:37" x14ac:dyDescent="0.3">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c r="AJ1427" t="str">
        <f>IF(Table1[[#This Row],[Column1]]&lt;=30,"18-30",IF(Table1[[#This Row],[Column1]]&lt;=50,"31-50","51+"))</f>
        <v>31-50</v>
      </c>
      <c r="AK1427" t="str">
        <f>IF(Table1[[#This Row],[WorkLifeBalance]]=1,"Poor",IF(Table1[[#This Row],[WorkLifeBalance]]=2,"Fair",IF(Table1[[#This Row],[WorkLifeBalance]]=3,"Good","Excellent")))</f>
        <v>Good</v>
      </c>
    </row>
    <row r="1428" spans="1:37" x14ac:dyDescent="0.3">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c r="AJ1428" t="str">
        <f>IF(Table1[[#This Row],[Column1]]&lt;=30,"18-30",IF(Table1[[#This Row],[Column1]]&lt;=50,"31-50","51+"))</f>
        <v>31-50</v>
      </c>
      <c r="AK1428" t="str">
        <f>IF(Table1[[#This Row],[WorkLifeBalance]]=1,"Poor",IF(Table1[[#This Row],[WorkLifeBalance]]=2,"Fair",IF(Table1[[#This Row],[WorkLifeBalance]]=3,"Good","Excellent")))</f>
        <v>Good</v>
      </c>
    </row>
    <row r="1429" spans="1:37" x14ac:dyDescent="0.3">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c r="AJ1429" t="str">
        <f>IF(Table1[[#This Row],[Column1]]&lt;=30,"18-30",IF(Table1[[#This Row],[Column1]]&lt;=50,"31-50","51+"))</f>
        <v>31-50</v>
      </c>
      <c r="AK1429" t="str">
        <f>IF(Table1[[#This Row],[WorkLifeBalance]]=1,"Poor",IF(Table1[[#This Row],[WorkLifeBalance]]=2,"Fair",IF(Table1[[#This Row],[WorkLifeBalance]]=3,"Good","Excellent")))</f>
        <v>Fair</v>
      </c>
    </row>
    <row r="1430" spans="1:37" x14ac:dyDescent="0.3">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c r="AJ1430" t="str">
        <f>IF(Table1[[#This Row],[Column1]]&lt;=30,"18-30",IF(Table1[[#This Row],[Column1]]&lt;=50,"31-50","51+"))</f>
        <v>31-50</v>
      </c>
      <c r="AK1430" t="str">
        <f>IF(Table1[[#This Row],[WorkLifeBalance]]=1,"Poor",IF(Table1[[#This Row],[WorkLifeBalance]]=2,"Fair",IF(Table1[[#This Row],[WorkLifeBalance]]=3,"Good","Excellent")))</f>
        <v>Good</v>
      </c>
    </row>
    <row r="1431" spans="1:37" x14ac:dyDescent="0.3">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c r="AJ1431" t="str">
        <f>IF(Table1[[#This Row],[Column1]]&lt;=30,"18-30",IF(Table1[[#This Row],[Column1]]&lt;=50,"31-50","51+"))</f>
        <v>31-50</v>
      </c>
      <c r="AK1431" t="str">
        <f>IF(Table1[[#This Row],[WorkLifeBalance]]=1,"Poor",IF(Table1[[#This Row],[WorkLifeBalance]]=2,"Fair",IF(Table1[[#This Row],[WorkLifeBalance]]=3,"Good","Excellent")))</f>
        <v>Good</v>
      </c>
    </row>
    <row r="1432" spans="1:37" x14ac:dyDescent="0.3">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c r="AJ1432" t="str">
        <f>IF(Table1[[#This Row],[Column1]]&lt;=30,"18-30",IF(Table1[[#This Row],[Column1]]&lt;=50,"31-50","51+"))</f>
        <v>31-50</v>
      </c>
      <c r="AK1432" t="str">
        <f>IF(Table1[[#This Row],[WorkLifeBalance]]=1,"Poor",IF(Table1[[#This Row],[WorkLifeBalance]]=2,"Fair",IF(Table1[[#This Row],[WorkLifeBalance]]=3,"Good","Excellent")))</f>
        <v>Good</v>
      </c>
    </row>
    <row r="1433" spans="1:37" x14ac:dyDescent="0.3">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c r="AJ1433" t="str">
        <f>IF(Table1[[#This Row],[Column1]]&lt;=30,"18-30",IF(Table1[[#This Row],[Column1]]&lt;=50,"31-50","51+"))</f>
        <v>31-50</v>
      </c>
      <c r="AK1433" t="str">
        <f>IF(Table1[[#This Row],[WorkLifeBalance]]=1,"Poor",IF(Table1[[#This Row],[WorkLifeBalance]]=2,"Fair",IF(Table1[[#This Row],[WorkLifeBalance]]=3,"Good","Excellent")))</f>
        <v>Good</v>
      </c>
    </row>
    <row r="1434" spans="1:37" x14ac:dyDescent="0.3">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c r="AJ1434" t="str">
        <f>IF(Table1[[#This Row],[Column1]]&lt;=30,"18-30",IF(Table1[[#This Row],[Column1]]&lt;=50,"31-50","51+"))</f>
        <v>31-50</v>
      </c>
      <c r="AK1434" t="str">
        <f>IF(Table1[[#This Row],[WorkLifeBalance]]=1,"Poor",IF(Table1[[#This Row],[WorkLifeBalance]]=2,"Fair",IF(Table1[[#This Row],[WorkLifeBalance]]=3,"Good","Excellent")))</f>
        <v>Good</v>
      </c>
    </row>
    <row r="1435" spans="1:37" x14ac:dyDescent="0.3">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c r="AJ1435" t="str">
        <f>IF(Table1[[#This Row],[Column1]]&lt;=30,"18-30",IF(Table1[[#This Row],[Column1]]&lt;=50,"31-50","51+"))</f>
        <v>18-30</v>
      </c>
      <c r="AK1435" t="str">
        <f>IF(Table1[[#This Row],[WorkLifeBalance]]=1,"Poor",IF(Table1[[#This Row],[WorkLifeBalance]]=2,"Fair",IF(Table1[[#This Row],[WorkLifeBalance]]=3,"Good","Excellent")))</f>
        <v>Fair</v>
      </c>
    </row>
    <row r="1436" spans="1:37" x14ac:dyDescent="0.3">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c r="AJ1436" t="str">
        <f>IF(Table1[[#This Row],[Column1]]&lt;=30,"18-30",IF(Table1[[#This Row],[Column1]]&lt;=50,"31-50","51+"))</f>
        <v>51+</v>
      </c>
      <c r="AK1436" t="str">
        <f>IF(Table1[[#This Row],[WorkLifeBalance]]=1,"Poor",IF(Table1[[#This Row],[WorkLifeBalance]]=2,"Fair",IF(Table1[[#This Row],[WorkLifeBalance]]=3,"Good","Excellent")))</f>
        <v>Fair</v>
      </c>
    </row>
    <row r="1437" spans="1:37" x14ac:dyDescent="0.3">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c r="AJ1437" t="str">
        <f>IF(Table1[[#This Row],[Column1]]&lt;=30,"18-30",IF(Table1[[#This Row],[Column1]]&lt;=50,"31-50","51+"))</f>
        <v>31-50</v>
      </c>
      <c r="AK1437" t="str">
        <f>IF(Table1[[#This Row],[WorkLifeBalance]]=1,"Poor",IF(Table1[[#This Row],[WorkLifeBalance]]=2,"Fair",IF(Table1[[#This Row],[WorkLifeBalance]]=3,"Good","Excellent")))</f>
        <v>Good</v>
      </c>
    </row>
    <row r="1438" spans="1:37" x14ac:dyDescent="0.3">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c r="AJ1438" t="str">
        <f>IF(Table1[[#This Row],[Column1]]&lt;=30,"18-30",IF(Table1[[#This Row],[Column1]]&lt;=50,"31-50","51+"))</f>
        <v>18-30</v>
      </c>
      <c r="AK1438" t="str">
        <f>IF(Table1[[#This Row],[WorkLifeBalance]]=1,"Poor",IF(Table1[[#This Row],[WorkLifeBalance]]=2,"Fair",IF(Table1[[#This Row],[WorkLifeBalance]]=3,"Good","Excellent")))</f>
        <v>Good</v>
      </c>
    </row>
    <row r="1439" spans="1:37" x14ac:dyDescent="0.3">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c r="AJ1439" t="str">
        <f>IF(Table1[[#This Row],[Column1]]&lt;=30,"18-30",IF(Table1[[#This Row],[Column1]]&lt;=50,"31-50","51+"))</f>
        <v>31-50</v>
      </c>
      <c r="AK1439" t="str">
        <f>IF(Table1[[#This Row],[WorkLifeBalance]]=1,"Poor",IF(Table1[[#This Row],[WorkLifeBalance]]=2,"Fair",IF(Table1[[#This Row],[WorkLifeBalance]]=3,"Good","Excellent")))</f>
        <v>Fair</v>
      </c>
    </row>
    <row r="1440" spans="1:37" x14ac:dyDescent="0.3">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c r="AJ1440" t="str">
        <f>IF(Table1[[#This Row],[Column1]]&lt;=30,"18-30",IF(Table1[[#This Row],[Column1]]&lt;=50,"31-50","51+"))</f>
        <v>18-30</v>
      </c>
      <c r="AK1440" t="str">
        <f>IF(Table1[[#This Row],[WorkLifeBalance]]=1,"Poor",IF(Table1[[#This Row],[WorkLifeBalance]]=2,"Fair",IF(Table1[[#This Row],[WorkLifeBalance]]=3,"Good","Excellent")))</f>
        <v>Fair</v>
      </c>
    </row>
    <row r="1441" spans="1:37" x14ac:dyDescent="0.3">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c r="AJ1441" t="str">
        <f>IF(Table1[[#This Row],[Column1]]&lt;=30,"18-30",IF(Table1[[#This Row],[Column1]]&lt;=50,"31-50","51+"))</f>
        <v>31-50</v>
      </c>
      <c r="AK1441" t="str">
        <f>IF(Table1[[#This Row],[WorkLifeBalance]]=1,"Poor",IF(Table1[[#This Row],[WorkLifeBalance]]=2,"Fair",IF(Table1[[#This Row],[WorkLifeBalance]]=3,"Good","Excellent")))</f>
        <v>Good</v>
      </c>
    </row>
    <row r="1442" spans="1:37" x14ac:dyDescent="0.3">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c r="AJ1442" t="str">
        <f>IF(Table1[[#This Row],[Column1]]&lt;=30,"18-30",IF(Table1[[#This Row],[Column1]]&lt;=50,"31-50","51+"))</f>
        <v>31-50</v>
      </c>
      <c r="AK1442" t="str">
        <f>IF(Table1[[#This Row],[WorkLifeBalance]]=1,"Poor",IF(Table1[[#This Row],[WorkLifeBalance]]=2,"Fair",IF(Table1[[#This Row],[WorkLifeBalance]]=3,"Good","Excellent")))</f>
        <v>Good</v>
      </c>
    </row>
    <row r="1443" spans="1:37" x14ac:dyDescent="0.3">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c r="AJ1443" t="str">
        <f>IF(Table1[[#This Row],[Column1]]&lt;=30,"18-30",IF(Table1[[#This Row],[Column1]]&lt;=50,"31-50","51+"))</f>
        <v>51+</v>
      </c>
      <c r="AK1443" t="str">
        <f>IF(Table1[[#This Row],[WorkLifeBalance]]=1,"Poor",IF(Table1[[#This Row],[WorkLifeBalance]]=2,"Fair",IF(Table1[[#This Row],[WorkLifeBalance]]=3,"Good","Excellent")))</f>
        <v>Fair</v>
      </c>
    </row>
    <row r="1444" spans="1:37" x14ac:dyDescent="0.3">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c r="AJ1444" t="str">
        <f>IF(Table1[[#This Row],[Column1]]&lt;=30,"18-30",IF(Table1[[#This Row],[Column1]]&lt;=50,"31-50","51+"))</f>
        <v>18-30</v>
      </c>
      <c r="AK1444" t="str">
        <f>IF(Table1[[#This Row],[WorkLifeBalance]]=1,"Poor",IF(Table1[[#This Row],[WorkLifeBalance]]=2,"Fair",IF(Table1[[#This Row],[WorkLifeBalance]]=3,"Good","Excellent")))</f>
        <v>Excellent</v>
      </c>
    </row>
    <row r="1445" spans="1:37" x14ac:dyDescent="0.3">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c r="AJ1445" t="str">
        <f>IF(Table1[[#This Row],[Column1]]&lt;=30,"18-30",IF(Table1[[#This Row],[Column1]]&lt;=50,"31-50","51+"))</f>
        <v>31-50</v>
      </c>
      <c r="AK1445" t="str">
        <f>IF(Table1[[#This Row],[WorkLifeBalance]]=1,"Poor",IF(Table1[[#This Row],[WorkLifeBalance]]=2,"Fair",IF(Table1[[#This Row],[WorkLifeBalance]]=3,"Good","Excellent")))</f>
        <v>Fair</v>
      </c>
    </row>
    <row r="1446" spans="1:37" x14ac:dyDescent="0.3">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c r="AJ1446" t="str">
        <f>IF(Table1[[#This Row],[Column1]]&lt;=30,"18-30",IF(Table1[[#This Row],[Column1]]&lt;=50,"31-50","51+"))</f>
        <v>51+</v>
      </c>
      <c r="AK1446" t="str">
        <f>IF(Table1[[#This Row],[WorkLifeBalance]]=1,"Poor",IF(Table1[[#This Row],[WorkLifeBalance]]=2,"Fair",IF(Table1[[#This Row],[WorkLifeBalance]]=3,"Good","Excellent")))</f>
        <v>Poor</v>
      </c>
    </row>
    <row r="1447" spans="1:37" x14ac:dyDescent="0.3">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c r="AJ1447" t="str">
        <f>IF(Table1[[#This Row],[Column1]]&lt;=30,"18-30",IF(Table1[[#This Row],[Column1]]&lt;=50,"31-50","51+"))</f>
        <v>31-50</v>
      </c>
      <c r="AK1447" t="str">
        <f>IF(Table1[[#This Row],[WorkLifeBalance]]=1,"Poor",IF(Table1[[#This Row],[WorkLifeBalance]]=2,"Fair",IF(Table1[[#This Row],[WorkLifeBalance]]=3,"Good","Excellent")))</f>
        <v>Good</v>
      </c>
    </row>
    <row r="1448" spans="1:37" x14ac:dyDescent="0.3">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c r="AJ1448" t="str">
        <f>IF(Table1[[#This Row],[Column1]]&lt;=30,"18-30",IF(Table1[[#This Row],[Column1]]&lt;=50,"31-50","51+"))</f>
        <v>31-50</v>
      </c>
      <c r="AK1448" t="str">
        <f>IF(Table1[[#This Row],[WorkLifeBalance]]=1,"Poor",IF(Table1[[#This Row],[WorkLifeBalance]]=2,"Fair",IF(Table1[[#This Row],[WorkLifeBalance]]=3,"Good","Excellent")))</f>
        <v>Good</v>
      </c>
    </row>
    <row r="1449" spans="1:37" x14ac:dyDescent="0.3">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c r="AJ1449" t="str">
        <f>IF(Table1[[#This Row],[Column1]]&lt;=30,"18-30",IF(Table1[[#This Row],[Column1]]&lt;=50,"31-50","51+"))</f>
        <v>31-50</v>
      </c>
      <c r="AK1449" t="str">
        <f>IF(Table1[[#This Row],[WorkLifeBalance]]=1,"Poor",IF(Table1[[#This Row],[WorkLifeBalance]]=2,"Fair",IF(Table1[[#This Row],[WorkLifeBalance]]=3,"Good","Excellent")))</f>
        <v>Fair</v>
      </c>
    </row>
    <row r="1450" spans="1:37" x14ac:dyDescent="0.3">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c r="AJ1450" t="str">
        <f>IF(Table1[[#This Row],[Column1]]&lt;=30,"18-30",IF(Table1[[#This Row],[Column1]]&lt;=50,"31-50","51+"))</f>
        <v>31-50</v>
      </c>
      <c r="AK1450" t="str">
        <f>IF(Table1[[#This Row],[WorkLifeBalance]]=1,"Poor",IF(Table1[[#This Row],[WorkLifeBalance]]=2,"Fair",IF(Table1[[#This Row],[WorkLifeBalance]]=3,"Good","Excellent")))</f>
        <v>Good</v>
      </c>
    </row>
    <row r="1451" spans="1:37" x14ac:dyDescent="0.3">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c r="AJ1451" t="str">
        <f>IF(Table1[[#This Row],[Column1]]&lt;=30,"18-30",IF(Table1[[#This Row],[Column1]]&lt;=50,"31-50","51+"))</f>
        <v>31-50</v>
      </c>
      <c r="AK1451" t="str">
        <f>IF(Table1[[#This Row],[WorkLifeBalance]]=1,"Poor",IF(Table1[[#This Row],[WorkLifeBalance]]=2,"Fair",IF(Table1[[#This Row],[WorkLifeBalance]]=3,"Good","Excellent")))</f>
        <v>Good</v>
      </c>
    </row>
    <row r="1452" spans="1:37" x14ac:dyDescent="0.3">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c r="AJ1452" t="str">
        <f>IF(Table1[[#This Row],[Column1]]&lt;=30,"18-30",IF(Table1[[#This Row],[Column1]]&lt;=50,"31-50","51+"))</f>
        <v>31-50</v>
      </c>
      <c r="AK1452" t="str">
        <f>IF(Table1[[#This Row],[WorkLifeBalance]]=1,"Poor",IF(Table1[[#This Row],[WorkLifeBalance]]=2,"Fair",IF(Table1[[#This Row],[WorkLifeBalance]]=3,"Good","Excellent")))</f>
        <v>Good</v>
      </c>
    </row>
    <row r="1453" spans="1:37" x14ac:dyDescent="0.3">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c r="AJ1453" t="str">
        <f>IF(Table1[[#This Row],[Column1]]&lt;=30,"18-30",IF(Table1[[#This Row],[Column1]]&lt;=50,"31-50","51+"))</f>
        <v>31-50</v>
      </c>
      <c r="AK1453" t="str">
        <f>IF(Table1[[#This Row],[WorkLifeBalance]]=1,"Poor",IF(Table1[[#This Row],[WorkLifeBalance]]=2,"Fair",IF(Table1[[#This Row],[WorkLifeBalance]]=3,"Good","Excellent")))</f>
        <v>Good</v>
      </c>
    </row>
    <row r="1454" spans="1:37" x14ac:dyDescent="0.3">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c r="AJ1454" t="str">
        <f>IF(Table1[[#This Row],[Column1]]&lt;=30,"18-30",IF(Table1[[#This Row],[Column1]]&lt;=50,"31-50","51+"))</f>
        <v>31-50</v>
      </c>
      <c r="AK1454" t="str">
        <f>IF(Table1[[#This Row],[WorkLifeBalance]]=1,"Poor",IF(Table1[[#This Row],[WorkLifeBalance]]=2,"Fair",IF(Table1[[#This Row],[WorkLifeBalance]]=3,"Good","Excellent")))</f>
        <v>Good</v>
      </c>
    </row>
    <row r="1455" spans="1:37" x14ac:dyDescent="0.3">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c r="AJ1455" t="str">
        <f>IF(Table1[[#This Row],[Column1]]&lt;=30,"18-30",IF(Table1[[#This Row],[Column1]]&lt;=50,"31-50","51+"))</f>
        <v>31-50</v>
      </c>
      <c r="AK1455" t="str">
        <f>IF(Table1[[#This Row],[WorkLifeBalance]]=1,"Poor",IF(Table1[[#This Row],[WorkLifeBalance]]=2,"Fair",IF(Table1[[#This Row],[WorkLifeBalance]]=3,"Good","Excellent")))</f>
        <v>Fair</v>
      </c>
    </row>
    <row r="1456" spans="1:37" x14ac:dyDescent="0.3">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c r="AJ1456" t="str">
        <f>IF(Table1[[#This Row],[Column1]]&lt;=30,"18-30",IF(Table1[[#This Row],[Column1]]&lt;=50,"31-50","51+"))</f>
        <v>31-50</v>
      </c>
      <c r="AK1456" t="str">
        <f>IF(Table1[[#This Row],[WorkLifeBalance]]=1,"Poor",IF(Table1[[#This Row],[WorkLifeBalance]]=2,"Fair",IF(Table1[[#This Row],[WorkLifeBalance]]=3,"Good","Excellent")))</f>
        <v>Good</v>
      </c>
    </row>
    <row r="1457" spans="1:37" x14ac:dyDescent="0.3">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c r="AJ1457" t="str">
        <f>IF(Table1[[#This Row],[Column1]]&lt;=30,"18-30",IF(Table1[[#This Row],[Column1]]&lt;=50,"31-50","51+"))</f>
        <v>31-50</v>
      </c>
      <c r="AK1457" t="str">
        <f>IF(Table1[[#This Row],[WorkLifeBalance]]=1,"Poor",IF(Table1[[#This Row],[WorkLifeBalance]]=2,"Fair",IF(Table1[[#This Row],[WorkLifeBalance]]=3,"Good","Excellent")))</f>
        <v>Good</v>
      </c>
    </row>
    <row r="1458" spans="1:37" x14ac:dyDescent="0.3">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c r="AJ1458" t="str">
        <f>IF(Table1[[#This Row],[Column1]]&lt;=30,"18-30",IF(Table1[[#This Row],[Column1]]&lt;=50,"31-50","51+"))</f>
        <v>31-50</v>
      </c>
      <c r="AK1458" t="str">
        <f>IF(Table1[[#This Row],[WorkLifeBalance]]=1,"Poor",IF(Table1[[#This Row],[WorkLifeBalance]]=2,"Fair",IF(Table1[[#This Row],[WorkLifeBalance]]=3,"Good","Excellent")))</f>
        <v>Excellent</v>
      </c>
    </row>
    <row r="1459" spans="1:37" x14ac:dyDescent="0.3">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c r="AJ1459" t="str">
        <f>IF(Table1[[#This Row],[Column1]]&lt;=30,"18-30",IF(Table1[[#This Row],[Column1]]&lt;=50,"31-50","51+"))</f>
        <v>31-50</v>
      </c>
      <c r="AK1459" t="str">
        <f>IF(Table1[[#This Row],[WorkLifeBalance]]=1,"Poor",IF(Table1[[#This Row],[WorkLifeBalance]]=2,"Fair",IF(Table1[[#This Row],[WorkLifeBalance]]=3,"Good","Excellent")))</f>
        <v>Good</v>
      </c>
    </row>
    <row r="1460" spans="1:37" x14ac:dyDescent="0.3">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c r="AJ1460" t="str">
        <f>IF(Table1[[#This Row],[Column1]]&lt;=30,"18-30",IF(Table1[[#This Row],[Column1]]&lt;=50,"31-50","51+"))</f>
        <v>31-50</v>
      </c>
      <c r="AK1460" t="str">
        <f>IF(Table1[[#This Row],[WorkLifeBalance]]=1,"Poor",IF(Table1[[#This Row],[WorkLifeBalance]]=2,"Fair",IF(Table1[[#This Row],[WorkLifeBalance]]=3,"Good","Excellent")))</f>
        <v>Good</v>
      </c>
    </row>
    <row r="1461" spans="1:37" x14ac:dyDescent="0.3">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c r="AJ1461" t="str">
        <f>IF(Table1[[#This Row],[Column1]]&lt;=30,"18-30",IF(Table1[[#This Row],[Column1]]&lt;=50,"31-50","51+"))</f>
        <v>18-30</v>
      </c>
      <c r="AK1461" t="str">
        <f>IF(Table1[[#This Row],[WorkLifeBalance]]=1,"Poor",IF(Table1[[#This Row],[WorkLifeBalance]]=2,"Fair",IF(Table1[[#This Row],[WorkLifeBalance]]=3,"Good","Excellent")))</f>
        <v>Good</v>
      </c>
    </row>
    <row r="1462" spans="1:37" x14ac:dyDescent="0.3">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c r="AJ1462" t="str">
        <f>IF(Table1[[#This Row],[Column1]]&lt;=30,"18-30",IF(Table1[[#This Row],[Column1]]&lt;=50,"31-50","51+"))</f>
        <v>18-30</v>
      </c>
      <c r="AK1462" t="str">
        <f>IF(Table1[[#This Row],[WorkLifeBalance]]=1,"Poor",IF(Table1[[#This Row],[WorkLifeBalance]]=2,"Fair",IF(Table1[[#This Row],[WorkLifeBalance]]=3,"Good","Excellent")))</f>
        <v>Poor</v>
      </c>
    </row>
    <row r="1463" spans="1:37" x14ac:dyDescent="0.3">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c r="AJ1463" t="str">
        <f>IF(Table1[[#This Row],[Column1]]&lt;=30,"18-30",IF(Table1[[#This Row],[Column1]]&lt;=50,"31-50","51+"))</f>
        <v>31-50</v>
      </c>
      <c r="AK1463" t="str">
        <f>IF(Table1[[#This Row],[WorkLifeBalance]]=1,"Poor",IF(Table1[[#This Row],[WorkLifeBalance]]=2,"Fair",IF(Table1[[#This Row],[WorkLifeBalance]]=3,"Good","Excellent")))</f>
        <v>Good</v>
      </c>
    </row>
    <row r="1464" spans="1:37" x14ac:dyDescent="0.3">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c r="AJ1464" t="str">
        <f>IF(Table1[[#This Row],[Column1]]&lt;=30,"18-30",IF(Table1[[#This Row],[Column1]]&lt;=50,"31-50","51+"))</f>
        <v>31-50</v>
      </c>
      <c r="AK1464" t="str">
        <f>IF(Table1[[#This Row],[WorkLifeBalance]]=1,"Poor",IF(Table1[[#This Row],[WorkLifeBalance]]=2,"Fair",IF(Table1[[#This Row],[WorkLifeBalance]]=3,"Good","Excellent")))</f>
        <v>Fair</v>
      </c>
    </row>
    <row r="1465" spans="1:37" x14ac:dyDescent="0.3">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c r="AJ1465" t="str">
        <f>IF(Table1[[#This Row],[Column1]]&lt;=30,"18-30",IF(Table1[[#This Row],[Column1]]&lt;=50,"31-50","51+"))</f>
        <v>31-50</v>
      </c>
      <c r="AK1465" t="str">
        <f>IF(Table1[[#This Row],[WorkLifeBalance]]=1,"Poor",IF(Table1[[#This Row],[WorkLifeBalance]]=2,"Fair",IF(Table1[[#This Row],[WorkLifeBalance]]=3,"Good","Excellent")))</f>
        <v>Good</v>
      </c>
    </row>
    <row r="1466" spans="1:37" x14ac:dyDescent="0.3">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c r="AJ1466" t="str">
        <f>IF(Table1[[#This Row],[Column1]]&lt;=30,"18-30",IF(Table1[[#This Row],[Column1]]&lt;=50,"31-50","51+"))</f>
        <v>18-30</v>
      </c>
      <c r="AK1466" t="str">
        <f>IF(Table1[[#This Row],[WorkLifeBalance]]=1,"Poor",IF(Table1[[#This Row],[WorkLifeBalance]]=2,"Fair",IF(Table1[[#This Row],[WorkLifeBalance]]=3,"Good","Excellent")))</f>
        <v>Good</v>
      </c>
    </row>
    <row r="1467" spans="1:37" x14ac:dyDescent="0.3">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c r="AJ1467" t="str">
        <f>IF(Table1[[#This Row],[Column1]]&lt;=30,"18-30",IF(Table1[[#This Row],[Column1]]&lt;=50,"31-50","51+"))</f>
        <v>31-50</v>
      </c>
      <c r="AK1467" t="str">
        <f>IF(Table1[[#This Row],[WorkLifeBalance]]=1,"Poor",IF(Table1[[#This Row],[WorkLifeBalance]]=2,"Fair",IF(Table1[[#This Row],[WorkLifeBalance]]=3,"Good","Excellent")))</f>
        <v>Good</v>
      </c>
    </row>
    <row r="1468" spans="1:37" x14ac:dyDescent="0.3">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c r="AJ1468" t="str">
        <f>IF(Table1[[#This Row],[Column1]]&lt;=30,"18-30",IF(Table1[[#This Row],[Column1]]&lt;=50,"31-50","51+"))</f>
        <v>31-50</v>
      </c>
      <c r="AK1468" t="str">
        <f>IF(Table1[[#This Row],[WorkLifeBalance]]=1,"Poor",IF(Table1[[#This Row],[WorkLifeBalance]]=2,"Fair",IF(Table1[[#This Row],[WorkLifeBalance]]=3,"Good","Excellent")))</f>
        <v>Good</v>
      </c>
    </row>
    <row r="1469" spans="1:37" x14ac:dyDescent="0.3">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c r="AJ1469" t="str">
        <f>IF(Table1[[#This Row],[Column1]]&lt;=30,"18-30",IF(Table1[[#This Row],[Column1]]&lt;=50,"31-50","51+"))</f>
        <v>18-30</v>
      </c>
      <c r="AK1469" t="str">
        <f>IF(Table1[[#This Row],[WorkLifeBalance]]=1,"Poor",IF(Table1[[#This Row],[WorkLifeBalance]]=2,"Fair",IF(Table1[[#This Row],[WorkLifeBalance]]=3,"Good","Excellent")))</f>
        <v>Good</v>
      </c>
    </row>
    <row r="1470" spans="1:37" x14ac:dyDescent="0.3">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c r="AJ1470" t="str">
        <f>IF(Table1[[#This Row],[Column1]]&lt;=30,"18-30",IF(Table1[[#This Row],[Column1]]&lt;=50,"31-50","51+"))</f>
        <v>31-50</v>
      </c>
      <c r="AK1470" t="str">
        <f>IF(Table1[[#This Row],[WorkLifeBalance]]=1,"Poor",IF(Table1[[#This Row],[WorkLifeBalance]]=2,"Fair",IF(Table1[[#This Row],[WorkLifeBalance]]=3,"Good","Excellent")))</f>
        <v>Fair</v>
      </c>
    </row>
    <row r="1471" spans="1:37" x14ac:dyDescent="0.3">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c r="AJ1471" t="str">
        <f>IF(Table1[[#This Row],[Column1]]&lt;=30,"18-30",IF(Table1[[#This Row],[Column1]]&lt;=50,"31-50","51+"))</f>
        <v>31-50</v>
      </c>
      <c r="AK1471" t="str">
        <f>IF(Table1[[#This Row],[WorkLifeBalance]]=1,"Poor",IF(Table1[[#This Row],[WorkLifeBalance]]=2,"Fair",IF(Table1[[#This Row],[WorkLifeBalance]]=3,"Good","Excellent")))</f>
        <v>Excellent</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BE52-A771-43B8-9C67-50BA0AD8CAC0}">
  <dimension ref="A1:H95"/>
  <sheetViews>
    <sheetView showGridLines="0" showRowColHeaders="0" tabSelected="1" topLeftCell="A74" zoomScale="70" zoomScaleNormal="70" workbookViewId="0">
      <selection activeCell="E42" sqref="E42"/>
    </sheetView>
  </sheetViews>
  <sheetFormatPr defaultRowHeight="14.4" x14ac:dyDescent="0.3"/>
  <cols>
    <col min="1" max="1" width="25.44140625" bestFit="1" customWidth="1"/>
    <col min="2" max="2" width="17.6640625" bestFit="1" customWidth="1"/>
    <col min="3" max="3" width="15.44140625" bestFit="1" customWidth="1"/>
    <col min="4" max="4" width="27.33203125" bestFit="1" customWidth="1"/>
    <col min="5" max="5" width="29.5546875" bestFit="1" customWidth="1"/>
    <col min="6" max="6" width="15.44140625" bestFit="1" customWidth="1"/>
  </cols>
  <sheetData>
    <row r="1" spans="1:8" ht="25.8" x14ac:dyDescent="0.5">
      <c r="A1" s="28" t="s">
        <v>116</v>
      </c>
      <c r="B1" s="29"/>
      <c r="C1" s="29"/>
      <c r="D1" s="29"/>
      <c r="E1" s="29"/>
      <c r="F1" s="29"/>
      <c r="G1" s="29"/>
      <c r="H1" s="29"/>
    </row>
    <row r="2" spans="1:8" x14ac:dyDescent="0.3">
      <c r="C2" s="6" t="s">
        <v>64</v>
      </c>
    </row>
    <row r="4" spans="1:8" x14ac:dyDescent="0.3">
      <c r="D4" s="12"/>
      <c r="E4" s="12"/>
      <c r="F4" s="12"/>
    </row>
    <row r="5" spans="1:8" ht="18" x14ac:dyDescent="0.35">
      <c r="D5" s="13" t="s">
        <v>61</v>
      </c>
      <c r="E5" s="13" t="s">
        <v>73</v>
      </c>
      <c r="F5" s="13" t="s">
        <v>62</v>
      </c>
    </row>
    <row r="6" spans="1:8" ht="28.8" x14ac:dyDescent="0.55000000000000004">
      <c r="D6" s="14">
        <v>1470</v>
      </c>
      <c r="E6" s="14">
        <v>237</v>
      </c>
      <c r="F6" s="15">
        <v>0.16120000000000001</v>
      </c>
    </row>
    <row r="94" spans="1:1" x14ac:dyDescent="0.3">
      <c r="A94" s="1" t="s">
        <v>64</v>
      </c>
    </row>
    <row r="95" spans="1:1" x14ac:dyDescent="0.3">
      <c r="A95" s="1" t="s">
        <v>74</v>
      </c>
    </row>
  </sheetData>
  <mergeCells count="1">
    <mergeCell ref="A1:H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CAAB-3AB5-469F-956E-C784768DF0C3}">
  <dimension ref="A1:A26"/>
  <sheetViews>
    <sheetView zoomScale="80" zoomScaleNormal="80" workbookViewId="0">
      <selection activeCell="A5" sqref="A5"/>
    </sheetView>
  </sheetViews>
  <sheetFormatPr defaultRowHeight="14.4" x14ac:dyDescent="0.3"/>
  <sheetData>
    <row r="1" spans="1:1" ht="31.2" x14ac:dyDescent="0.6">
      <c r="A1" s="3" t="s">
        <v>63</v>
      </c>
    </row>
    <row r="3" spans="1:1" x14ac:dyDescent="0.3">
      <c r="A3" t="s">
        <v>64</v>
      </c>
    </row>
    <row r="4" spans="1:1" x14ac:dyDescent="0.3">
      <c r="A4" t="s">
        <v>117</v>
      </c>
    </row>
    <row r="7" spans="1:1" ht="18" x14ac:dyDescent="0.3">
      <c r="A7" s="19" t="s">
        <v>86</v>
      </c>
    </row>
    <row r="9" spans="1:1" ht="15.6" x14ac:dyDescent="0.3">
      <c r="A9" s="20" t="s">
        <v>87</v>
      </c>
    </row>
    <row r="11" spans="1:1" ht="18" x14ac:dyDescent="0.3">
      <c r="A11" s="19" t="s">
        <v>88</v>
      </c>
    </row>
    <row r="12" spans="1:1" x14ac:dyDescent="0.3">
      <c r="A12" s="4"/>
    </row>
    <row r="13" spans="1:1" ht="15.6" x14ac:dyDescent="0.3">
      <c r="A13" s="21" t="s">
        <v>90</v>
      </c>
    </row>
    <row r="14" spans="1:1" ht="15.6" x14ac:dyDescent="0.3">
      <c r="A14" s="21" t="s">
        <v>91</v>
      </c>
    </row>
    <row r="15" spans="1:1" ht="15.6" x14ac:dyDescent="0.3">
      <c r="A15" s="21" t="s">
        <v>92</v>
      </c>
    </row>
    <row r="16" spans="1:1" ht="15.6" x14ac:dyDescent="0.3">
      <c r="A16" s="21" t="s">
        <v>93</v>
      </c>
    </row>
    <row r="17" spans="1:1" ht="15.6" x14ac:dyDescent="0.3">
      <c r="A17" s="21" t="s">
        <v>94</v>
      </c>
    </row>
    <row r="18" spans="1:1" ht="15.6" x14ac:dyDescent="0.3">
      <c r="A18" s="21" t="s">
        <v>95</v>
      </c>
    </row>
    <row r="20" spans="1:1" ht="18" x14ac:dyDescent="0.3">
      <c r="A20" s="19" t="s">
        <v>89</v>
      </c>
    </row>
    <row r="21" spans="1:1" x14ac:dyDescent="0.3">
      <c r="A21" s="4"/>
    </row>
    <row r="22" spans="1:1" ht="15.6" x14ac:dyDescent="0.3">
      <c r="A22" s="21" t="s">
        <v>96</v>
      </c>
    </row>
    <row r="23" spans="1:1" ht="15.6" x14ac:dyDescent="0.3">
      <c r="A23" s="21" t="s">
        <v>97</v>
      </c>
    </row>
    <row r="24" spans="1:1" ht="15.6" x14ac:dyDescent="0.3">
      <c r="A24" s="21" t="s">
        <v>98</v>
      </c>
    </row>
    <row r="25" spans="1:1" ht="15.6" x14ac:dyDescent="0.3">
      <c r="A25" s="21" t="s">
        <v>99</v>
      </c>
    </row>
    <row r="26" spans="1:1" ht="15.6" x14ac:dyDescent="0.3">
      <c r="A26" s="21" t="s">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CC710-468A-4A64-9B1D-BF82511376A8}">
  <dimension ref="A1:C14"/>
  <sheetViews>
    <sheetView workbookViewId="0">
      <selection activeCell="J11" sqref="J11"/>
    </sheetView>
  </sheetViews>
  <sheetFormatPr defaultRowHeight="14.4" x14ac:dyDescent="0.3"/>
  <cols>
    <col min="1" max="1" width="43.6640625" customWidth="1"/>
    <col min="2" max="2" width="39.109375" customWidth="1"/>
    <col min="3" max="3" width="21.44140625" customWidth="1"/>
  </cols>
  <sheetData>
    <row r="1" spans="1:3" ht="23.4" x14ac:dyDescent="0.45">
      <c r="A1" s="25" t="s">
        <v>115</v>
      </c>
      <c r="B1" s="16"/>
      <c r="C1" s="16"/>
    </row>
    <row r="2" spans="1:3" ht="18" x14ac:dyDescent="0.3">
      <c r="A2" s="22" t="s">
        <v>101</v>
      </c>
      <c r="B2" s="22" t="s">
        <v>102</v>
      </c>
      <c r="C2" s="24" t="s">
        <v>118</v>
      </c>
    </row>
    <row r="3" spans="1:3" ht="31.2" x14ac:dyDescent="0.3">
      <c r="A3" s="23" t="s">
        <v>103</v>
      </c>
      <c r="B3" s="24" t="s">
        <v>109</v>
      </c>
      <c r="C3" s="23" t="s">
        <v>119</v>
      </c>
    </row>
    <row r="4" spans="1:3" ht="31.2" x14ac:dyDescent="0.3">
      <c r="A4" s="23" t="s">
        <v>104</v>
      </c>
      <c r="B4" s="23" t="s">
        <v>110</v>
      </c>
      <c r="C4" s="23" t="s">
        <v>120</v>
      </c>
    </row>
    <row r="5" spans="1:3" ht="31.2" x14ac:dyDescent="0.3">
      <c r="A5" s="23" t="s">
        <v>105</v>
      </c>
      <c r="B5" s="23" t="s">
        <v>111</v>
      </c>
      <c r="C5" s="23" t="s">
        <v>121</v>
      </c>
    </row>
    <row r="6" spans="1:3" ht="31.2" x14ac:dyDescent="0.3">
      <c r="A6" s="23" t="s">
        <v>106</v>
      </c>
      <c r="B6" s="23" t="s">
        <v>112</v>
      </c>
      <c r="C6" s="23" t="s">
        <v>122</v>
      </c>
    </row>
    <row r="7" spans="1:3" ht="31.2" x14ac:dyDescent="0.3">
      <c r="A7" s="23" t="s">
        <v>107</v>
      </c>
      <c r="B7" s="23" t="s">
        <v>113</v>
      </c>
      <c r="C7" s="23" t="s">
        <v>121</v>
      </c>
    </row>
    <row r="8" spans="1:3" ht="15.6" x14ac:dyDescent="0.3">
      <c r="A8" s="23" t="s">
        <v>108</v>
      </c>
      <c r="B8" s="23" t="s">
        <v>114</v>
      </c>
      <c r="C8" s="23" t="s">
        <v>121</v>
      </c>
    </row>
    <row r="13" spans="1:3" x14ac:dyDescent="0.3">
      <c r="A13" t="s">
        <v>123</v>
      </c>
    </row>
    <row r="14" spans="1:3" x14ac:dyDescent="0.3">
      <c r="A14" t="s">
        <v>124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76E9-41CB-4FC5-AB25-726BE8522E78}">
  <dimension ref="A1:F53"/>
  <sheetViews>
    <sheetView workbookViewId="0">
      <selection activeCell="U33" sqref="U33"/>
    </sheetView>
  </sheetViews>
  <sheetFormatPr defaultRowHeight="14.4" x14ac:dyDescent="0.3"/>
  <sheetData>
    <row r="1" spans="1:6" ht="21" x14ac:dyDescent="0.4">
      <c r="A1" s="26" t="s">
        <v>125</v>
      </c>
    </row>
    <row r="4" spans="1:6" ht="18" x14ac:dyDescent="0.35">
      <c r="A4" s="27" t="s">
        <v>103</v>
      </c>
      <c r="F4" t="s">
        <v>126</v>
      </c>
    </row>
    <row r="5" spans="1:6" x14ac:dyDescent="0.3">
      <c r="F5" t="s">
        <v>127</v>
      </c>
    </row>
    <row r="6" spans="1:6" x14ac:dyDescent="0.3">
      <c r="F6" t="s">
        <v>128</v>
      </c>
    </row>
    <row r="7" spans="1:6" x14ac:dyDescent="0.3">
      <c r="F7" t="s">
        <v>129</v>
      </c>
    </row>
    <row r="11" spans="1:6" ht="18" x14ac:dyDescent="0.35">
      <c r="A11" s="27" t="s">
        <v>104</v>
      </c>
      <c r="F11" t="s">
        <v>130</v>
      </c>
    </row>
    <row r="12" spans="1:6" x14ac:dyDescent="0.3">
      <c r="F12" t="s">
        <v>127</v>
      </c>
    </row>
    <row r="13" spans="1:6" x14ac:dyDescent="0.3">
      <c r="F13" t="s">
        <v>131</v>
      </c>
    </row>
    <row r="17" spans="1:6" ht="18" x14ac:dyDescent="0.35">
      <c r="A17" s="27" t="s">
        <v>105</v>
      </c>
      <c r="F17" t="s">
        <v>132</v>
      </c>
    </row>
    <row r="18" spans="1:6" x14ac:dyDescent="0.3">
      <c r="F18" t="s">
        <v>127</v>
      </c>
    </row>
    <row r="19" spans="1:6" x14ac:dyDescent="0.3">
      <c r="F19" t="s">
        <v>133</v>
      </c>
    </row>
    <row r="20" spans="1:6" x14ac:dyDescent="0.3">
      <c r="F20" t="s">
        <v>134</v>
      </c>
    </row>
    <row r="24" spans="1:6" ht="18" x14ac:dyDescent="0.35">
      <c r="A24" s="27" t="s">
        <v>106</v>
      </c>
      <c r="F24" t="s">
        <v>135</v>
      </c>
    </row>
    <row r="25" spans="1:6" x14ac:dyDescent="0.3">
      <c r="F25" t="s">
        <v>136</v>
      </c>
    </row>
    <row r="26" spans="1:6" x14ac:dyDescent="0.3">
      <c r="F26" t="s">
        <v>137</v>
      </c>
    </row>
    <row r="27" spans="1:6" x14ac:dyDescent="0.3">
      <c r="F27" t="s">
        <v>138</v>
      </c>
    </row>
    <row r="28" spans="1:6" x14ac:dyDescent="0.3">
      <c r="F28" t="s">
        <v>139</v>
      </c>
    </row>
    <row r="29" spans="1:6" x14ac:dyDescent="0.3">
      <c r="F29" t="s">
        <v>140</v>
      </c>
    </row>
    <row r="30" spans="1:6" x14ac:dyDescent="0.3">
      <c r="F30" t="s">
        <v>141</v>
      </c>
    </row>
    <row r="31" spans="1:6" x14ac:dyDescent="0.3">
      <c r="F31" t="s">
        <v>142</v>
      </c>
    </row>
    <row r="32" spans="1:6" x14ac:dyDescent="0.3">
      <c r="F32" t="s">
        <v>127</v>
      </c>
    </row>
    <row r="33" spans="1:6" x14ac:dyDescent="0.3">
      <c r="F33" t="s">
        <v>143</v>
      </c>
    </row>
    <row r="34" spans="1:6" x14ac:dyDescent="0.3">
      <c r="F34" t="s">
        <v>129</v>
      </c>
    </row>
    <row r="37" spans="1:6" ht="18" x14ac:dyDescent="0.35">
      <c r="A37" s="27" t="s">
        <v>107</v>
      </c>
      <c r="F37" t="s">
        <v>144</v>
      </c>
    </row>
    <row r="38" spans="1:6" x14ac:dyDescent="0.3">
      <c r="F38" t="s">
        <v>127</v>
      </c>
    </row>
    <row r="39" spans="1:6" x14ac:dyDescent="0.3">
      <c r="F39" t="s">
        <v>145</v>
      </c>
    </row>
    <row r="40" spans="1:6" x14ac:dyDescent="0.3">
      <c r="F40" t="s">
        <v>129</v>
      </c>
    </row>
    <row r="43" spans="1:6" ht="18" x14ac:dyDescent="0.35">
      <c r="A43" s="27" t="s">
        <v>146</v>
      </c>
      <c r="F43" t="s">
        <v>135</v>
      </c>
    </row>
    <row r="44" spans="1:6" x14ac:dyDescent="0.3">
      <c r="F44" t="s">
        <v>136</v>
      </c>
    </row>
    <row r="45" spans="1:6" x14ac:dyDescent="0.3">
      <c r="F45" t="s">
        <v>147</v>
      </c>
    </row>
    <row r="46" spans="1:6" x14ac:dyDescent="0.3">
      <c r="F46" t="s">
        <v>148</v>
      </c>
    </row>
    <row r="47" spans="1:6" x14ac:dyDescent="0.3">
      <c r="F47" t="s">
        <v>149</v>
      </c>
    </row>
    <row r="48" spans="1:6" x14ac:dyDescent="0.3">
      <c r="F48" t="s">
        <v>150</v>
      </c>
    </row>
    <row r="49" spans="6:6" x14ac:dyDescent="0.3">
      <c r="F49" t="s">
        <v>151</v>
      </c>
    </row>
    <row r="50" spans="6:6" x14ac:dyDescent="0.3">
      <c r="F50" t="s">
        <v>152</v>
      </c>
    </row>
    <row r="51" spans="6:6" x14ac:dyDescent="0.3">
      <c r="F51" t="s">
        <v>127</v>
      </c>
    </row>
    <row r="52" spans="6:6" x14ac:dyDescent="0.3">
      <c r="F52" t="s">
        <v>153</v>
      </c>
    </row>
    <row r="53" spans="6:6" x14ac:dyDescent="0.3">
      <c r="F53" t="s">
        <v>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BCCDE8-F312-440E-8453-4FA617824A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Attrition_by_EmployeeNumber</vt:lpstr>
      <vt:lpstr>Attrition_by_Department</vt:lpstr>
      <vt:lpstr>Attrition_by_JobRole</vt:lpstr>
      <vt:lpstr>Calculations</vt:lpstr>
      <vt:lpstr>Attrition_by_overtime</vt:lpstr>
      <vt:lpstr>Attrition_by_Travel</vt:lpstr>
      <vt:lpstr>Attrition_by_Marital_Status</vt:lpstr>
      <vt:lpstr>Attrition_by _Age_Group</vt:lpstr>
      <vt:lpstr>Attrition_by_Work_Life_Balance</vt:lpstr>
      <vt:lpstr>Raw_Data</vt:lpstr>
      <vt:lpstr>Dashboard</vt:lpstr>
      <vt:lpstr>Executive_Summary</vt:lpstr>
      <vt:lpstr>SQL_Documentation_Sheet</vt:lpstr>
      <vt:lpstr>SQL_Queries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kamila jasinska</dc:creator>
  <cp:lastModifiedBy>kamila jasinska</cp:lastModifiedBy>
  <dcterms:created xsi:type="dcterms:W3CDTF">2026-06-11T11:20:10Z</dcterms:created>
  <dcterms:modified xsi:type="dcterms:W3CDTF">2026-06-29T10:51:43Z</dcterms:modified>
</cp:coreProperties>
</file>